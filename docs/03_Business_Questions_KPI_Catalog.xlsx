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2a5768b40448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PI_Catalog" sheetId="1" r:id="R3d481990a19f40d5"/>
    <x:sheet xmlns:r="http://schemas.openxmlformats.org/officeDocument/2006/relationships" name="Business_Questions" sheetId="2" r:id="Rff7a3d098bed43ed"/>
    <x:sheet xmlns:r="http://schemas.openxmlformats.org/officeDocument/2006/relationships" name="Domain_Summary" sheetId="3" r:id="R72ded14691b1408a"/>
    <x:sheet xmlns:r="http://schemas.openxmlformats.org/officeDocument/2006/relationships" name="Definitions" sheetId="4" r:id="Re42e97dcc11f4e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03864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</x:cellXfs>
  <x:cellStyles count="1">
    <x:cellStyle name="Normal" xfId="0"/>
  </x:cellStyles>
  <x:dxfs count="3"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ae38d94d1b45a1" /><Relationship Type="http://schemas.openxmlformats.org/officeDocument/2006/relationships/theme" Target="/xl/theme/theme1.xml" Id="R470dd0ba585f4e19" /><Relationship Type="http://schemas.openxmlformats.org/officeDocument/2006/relationships/sharedStrings" Target="/xl/sharedStrings.xml" Id="R03a5fe26297e4510" /><Relationship Type="http://schemas.openxmlformats.org/officeDocument/2006/relationships/worksheet" Target="/xl/worksheets/sheet1.xml" Id="R3d481990a19f40d5" /><Relationship Type="http://schemas.openxmlformats.org/officeDocument/2006/relationships/worksheet" Target="/xl/worksheets/sheet2.xml" Id="Rff7a3d098bed43ed" /><Relationship Type="http://schemas.openxmlformats.org/officeDocument/2006/relationships/worksheet" Target="/xl/worksheets/sheet3.xml" Id="R72ded14691b1408a" /><Relationship Type="http://schemas.openxmlformats.org/officeDocument/2006/relationships/worksheet" Target="/xl/worksheets/sheet4.xml" Id="Re42e97dcc11f4e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c45016d870466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KPI Coverage by Domain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KPIs</c:v>
          </c:tx>
          <c:cat>
            <c:strRef>
              <c:f>'Domain_Summary'!$A$5:$A$14</c:f>
              <c:strCache>
                <c:ptCount val="0"/>
              </c:strCache>
            </c:strRef>
          </c:cat>
          <c:val>
            <c:numRef>
              <c:f>'Domain_Summary'!$B$5:$B$14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MVP KPIs</c:v>
          </c:tx>
          <c:cat>
            <c:strRef>
              <c:f>'Domain_Summary'!$A$5:$A$14</c:f>
              <c:strCache>
                <c:ptCount val="0"/>
              </c:strCache>
            </c:strRef>
          </c:cat>
          <c:val>
            <c:numRef>
              <c:f>'Domain_Summary'!$C$5:$C$14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c45016d870466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KPICatalogTable" displayName="KPICatalogTable" ref="A4:P71" headerRowCount="1" totalsRowCount="0" totalsRowShown="0">
  <x:tableColumns count="16">
    <x:tableColumn id="1" name="KPI_ID"/>
    <x:tableColumn id="2" name="Domain"/>
    <x:tableColumn id="3" name="Business_Question"/>
    <x:tableColumn id="4" name="KPI_Name"/>
    <x:tableColumn id="5" name="Business_Definition"/>
    <x:tableColumn id="6" name="Calculation_Logic"/>
    <x:tableColumn id="7" name="Unit"/>
    <x:tableColumn id="8" name="Granularity"/>
    <x:tableColumn id="9" name="Dimensions"/>
    <x:tableColumn id="10" name="Required_Data"/>
    <x:tableColumn id="11" name="Expected_Source"/>
    <x:tableColumn id="12" name="Gold_Dataset"/>
    <x:tableColumn id="13" name="Dashboard_Page"/>
    <x:tableColumn id="14" name="Priority"/>
    <x:tableColumn id="15" name="Validation_Status"/>
    <x:tableColumn id="16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usinessQuestionsTable" displayName="BusinessQuestionsTable" ref="A4:E17" headerRowCount="1" totalsRowCount="0" totalsRowShown="0">
  <x:tableColumns count="5">
    <x:tableColumn id="1" name="Question_ID"/>
    <x:tableColumn id="2" name="Domain"/>
    <x:tableColumn id="3" name="Business_Question"/>
    <x:tableColumn id="4" name="Priority"/>
    <x:tableColumn id="5" name="Validation_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omainSummaryTable" displayName="DomainSummaryTable" ref="A4:G14" headerRowCount="1" totalsRowCount="0" totalsRowShown="0">
  <x:tableColumns count="7">
    <x:tableColumn id="1" name="Domain"/>
    <x:tableColumn id="2" name="Total KPIs"/>
    <x:tableColumn id="3" name="MVP KPIs"/>
    <x:tableColumn id="4" name="Phase 2 KPIs"/>
    <x:tableColumn id="5" name="Proposed"/>
    <x:tableColumn id="6" name="Pending Source Validation"/>
    <x:tableColumn id="7" name="Primary Dashboard Pag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finitionsTable" displayName="DefinitionsTable" ref="A4:C20" headerRowCount="1" totalsRowCount="0" totalsRowShown="0">
  <x:tableColumns count="3">
    <x:tableColumn id="1" name="Field"/>
    <x:tableColumn id="2" name="Definition"/>
    <x:tableColumn id="3" name="Guida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86f3e8911fb43a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2db896bf83e47e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c85c709110174577" /><Relationship Type="http://schemas.openxmlformats.org/officeDocument/2006/relationships/table" Target="/xl/tables/table3.xml" Id="R950f97fedb02405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7505dc9dae34a6e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40" hidden="0" customWidth="1"/>
    <x:col min="4" max="4" width="28" hidden="0" customWidth="1"/>
    <x:col min="5" max="5" width="42" hidden="0" customWidth="1"/>
    <x:col min="6" max="6" width="42" hidden="0" customWidth="1"/>
    <x:col min="7" max="7" width="18" hidden="0" customWidth="1"/>
    <x:col min="8" max="8" width="20" hidden="0" customWidth="1"/>
    <x:col min="9" max="9" width="40" hidden="0" customWidth="1"/>
    <x:col min="10" max="10" width="38" hidden="0" customWidth="1"/>
    <x:col min="11" max="11" width="34" hidden="0" customWidth="1"/>
    <x:col min="12" max="12" width="30" hidden="0" customWidth="1"/>
    <x:col min="13" max="13" width="28" hidden="0" customWidth="1"/>
    <x:col min="14" max="14" width="14" hidden="0" customWidth="1"/>
    <x:col min="15" max="15" width="24" hidden="0" customWidth="1"/>
    <x:col min="16" max="16" width="42" hidden="0" customWidth="1"/>
  </x:cols>
  <x:sheetData>
    <x:row r="1" ht="30" customHeight="1">
      <x:c r="A1" s="5" t="str">
        <x:v>Business Questions &amp; KPI Catalog</x:v>
      </x:c>
    </x:row>
    <x:row r="2" ht="28" customHeight="1">
      <x:c r="A2" s="13" t="str">
        <x:v>Working catalog linking business questions to KPI definitions, calculation logic, required data, expected sources, future Gold datasets, and dashboard pages. Source fields remain provisional until Data Source Assessment.</x:v>
      </x:c>
    </x:row>
    <x:row r="4" ht="36" customHeight="1">
      <x:c r="A4" s="22" t="str">
        <x:v>KPI_ID</x:v>
      </x:c>
      <x:c r="B4" s="22" t="str">
        <x:v>Domain</x:v>
      </x:c>
      <x:c r="C4" s="22" t="str">
        <x:v>Business_Question</x:v>
      </x:c>
      <x:c r="D4" s="22" t="str">
        <x:v>KPI_Name</x:v>
      </x:c>
      <x:c r="E4" s="22" t="str">
        <x:v>Business_Definition</x:v>
      </x:c>
      <x:c r="F4" s="22" t="str">
        <x:v>Calculation_Logic</x:v>
      </x:c>
      <x:c r="G4" s="22" t="str">
        <x:v>Unit</x:v>
      </x:c>
      <x:c r="H4" s="22" t="str">
        <x:v>Granularity</x:v>
      </x:c>
      <x:c r="I4" s="22" t="str">
        <x:v>Dimensions</x:v>
      </x:c>
      <x:c r="J4" s="22" t="str">
        <x:v>Required_Data</x:v>
      </x:c>
      <x:c r="K4" s="22" t="str">
        <x:v>Expected_Source</x:v>
      </x:c>
      <x:c r="L4" s="22" t="str">
        <x:v>Gold_Dataset</x:v>
      </x:c>
      <x:c r="M4" s="22" t="str">
        <x:v>Dashboard_Page</x:v>
      </x:c>
      <x:c r="N4" s="22" t="str">
        <x:v>Priority</x:v>
      </x:c>
      <x:c r="O4" s="22" t="str">
        <x:v>Validation_Status</x:v>
      </x:c>
      <x:c r="P4" s="22" t="str">
        <x:v>Notes</x:v>
      </x:c>
    </x:row>
    <x:row r="5">
      <x:c r="A5" s="30" t="str">
        <x:v>INF-001</x:v>
      </x:c>
      <x:c r="B5" s="30" t="str">
        <x:v>Inflation &amp; CPI</x:v>
      </x:c>
      <x:c r="C5" s="30" t="str">
        <x:v>How is inflation evolving in the Dominican Republic?</x:v>
      </x:c>
      <x:c r="D5" s="30" t="str">
        <x:v>CPI Index</x:v>
      </x:c>
      <x:c r="E5" s="30" t="str">
        <x:v>Official consumer price index level for the reference period.</x:v>
      </x:c>
      <x:c r="F5" s="30" t="str">
        <x:v>Published CPI index value</x:v>
      </x:c>
      <x:c r="G5" s="30" t="str">
        <x:v>Index</x:v>
      </x:c>
      <x:c r="H5" s="30" t="str">
        <x:v>Monthly</x:v>
      </x:c>
      <x:c r="I5" s="30" t="str">
        <x:v>Date; Expenditure Group</x:v>
      </x:c>
      <x:c r="J5" s="30" t="str">
        <x:v>CPI index; reference period</x:v>
      </x:c>
      <x:c r="K5" s="30" t="str">
        <x:v>BCRD (to validate)</x:v>
      </x:c>
      <x:c r="L5" s="30" t="str">
        <x:v>gold.inflation_metrics</x:v>
      </x:c>
      <x:c r="M5" s="30" t="str">
        <x:v>Inflation &amp; CPI</x:v>
      </x:c>
      <x:c r="N5" s="30" t="str">
        <x:v>MVP</x:v>
      </x:c>
      <x:c r="O5" s="30" t="str">
        <x:v>Proposed</x:v>
      </x:c>
      <x:c r="P5" s="30" t="str"/>
    </x:row>
    <x:row r="6">
      <x:c r="A6" s="30" t="str">
        <x:v>INF-002</x:v>
      </x:c>
      <x:c r="B6" s="30" t="str">
        <x:v>Inflation &amp; CPI</x:v>
      </x:c>
      <x:c r="C6" s="30" t="str">
        <x:v>How is inflation evolving in the Dominican Republic?</x:v>
      </x:c>
      <x:c r="D6" s="30" t="str">
        <x:v>Monthly Inflation</x:v>
      </x:c>
      <x:c r="E6" s="30" t="str">
        <x:v>Percentage change in CPI versus the previous month.</x:v>
      </x:c>
      <x:c r="F6" s="30" t="str">
        <x:v>(CPI_t / CPI_t-1 - 1) * 100</x:v>
      </x:c>
      <x:c r="G6" s="30" t="str">
        <x:v>%</x:v>
      </x:c>
      <x:c r="H6" s="30" t="str">
        <x:v>Monthly</x:v>
      </x:c>
      <x:c r="I6" s="30" t="str">
        <x:v>Date</x:v>
      </x:c>
      <x:c r="J6" s="30" t="str">
        <x:v>Current CPI; previous-month CPI</x:v>
      </x:c>
      <x:c r="K6" s="30" t="str">
        <x:v>BCRD (to validate)</x:v>
      </x:c>
      <x:c r="L6" s="30" t="str">
        <x:v>gold.inflation_metrics</x:v>
      </x:c>
      <x:c r="M6" s="30" t="str">
        <x:v>Inflation &amp; CPI</x:v>
      </x:c>
      <x:c r="N6" s="30" t="str">
        <x:v>MVP</x:v>
      </x:c>
      <x:c r="O6" s="30" t="str">
        <x:v>Proposed</x:v>
      </x:c>
      <x:c r="P6" s="30" t="str"/>
    </x:row>
    <x:row r="7">
      <x:c r="A7" s="30" t="str">
        <x:v>INF-003</x:v>
      </x:c>
      <x:c r="B7" s="30" t="str">
        <x:v>Inflation &amp; CPI</x:v>
      </x:c>
      <x:c r="C7" s="30" t="str">
        <x:v>How is inflation evolving in the Dominican Republic?</x:v>
      </x:c>
      <x:c r="D7" s="30" t="str">
        <x:v>YoY Inflation</x:v>
      </x:c>
      <x:c r="E7" s="30" t="str">
        <x:v>Percentage change in CPI versus the same month one year earlier.</x:v>
      </x:c>
      <x:c r="F7" s="30" t="str">
        <x:v>(CPI_t / CPI_t-12 - 1) * 100</x:v>
      </x:c>
      <x:c r="G7" s="30" t="str">
        <x:v>%</x:v>
      </x:c>
      <x:c r="H7" s="30" t="str">
        <x:v>Monthly</x:v>
      </x:c>
      <x:c r="I7" s="30" t="str">
        <x:v>Date</x:v>
      </x:c>
      <x:c r="J7" s="30" t="str">
        <x:v>Current CPI; CPI 12 months prior</x:v>
      </x:c>
      <x:c r="K7" s="30" t="str">
        <x:v>BCRD (to validate)</x:v>
      </x:c>
      <x:c r="L7" s="30" t="str">
        <x:v>gold.inflation_metrics</x:v>
      </x:c>
      <x:c r="M7" s="30" t="str">
        <x:v>Inflation &amp; CPI</x:v>
      </x:c>
      <x:c r="N7" s="30" t="str">
        <x:v>MVP</x:v>
      </x:c>
      <x:c r="O7" s="30" t="str">
        <x:v>Proposed</x:v>
      </x:c>
      <x:c r="P7" s="30" t="str"/>
    </x:row>
    <x:row r="8">
      <x:c r="A8" s="30" t="str">
        <x:v>INF-004</x:v>
      </x:c>
      <x:c r="B8" s="30" t="str">
        <x:v>Inflation &amp; CPI</x:v>
      </x:c>
      <x:c r="C8" s="30" t="str">
        <x:v>How is inflation evolving in the Dominican Republic?</x:v>
      </x:c>
      <x:c r="D8" s="30" t="str">
        <x:v>YTD Inflation</x:v>
      </x:c>
      <x:c r="E8" s="30" t="str">
        <x:v>Cumulative CPI change from the end of the prior year to the current period.</x:v>
      </x:c>
      <x:c r="F8" s="30" t="str">
        <x:v>(CPI_t / CPI_Dec_prev_year - 1) * 100</x:v>
      </x:c>
      <x:c r="G8" s="30" t="str">
        <x:v>%</x:v>
      </x:c>
      <x:c r="H8" s="30" t="str">
        <x:v>Monthly</x:v>
      </x:c>
      <x:c r="I8" s="30" t="str">
        <x:v>Date</x:v>
      </x:c>
      <x:c r="J8" s="30" t="str">
        <x:v>Current CPI; prior December CPI</x:v>
      </x:c>
      <x:c r="K8" s="30" t="str">
        <x:v>BCRD (to validate)</x:v>
      </x:c>
      <x:c r="L8" s="30" t="str">
        <x:v>gold.inflation_metrics</x:v>
      </x:c>
      <x:c r="M8" s="30" t="str">
        <x:v>Inflation &amp; CPI</x:v>
      </x:c>
      <x:c r="N8" s="30" t="str">
        <x:v>MVP</x:v>
      </x:c>
      <x:c r="O8" s="30" t="str">
        <x:v>Proposed</x:v>
      </x:c>
      <x:c r="P8" s="30" t="str"/>
    </x:row>
    <x:row r="9">
      <x:c r="A9" s="30" t="str">
        <x:v>INF-005</x:v>
      </x:c>
      <x:c r="B9" s="30" t="str">
        <x:v>Inflation &amp; CPI</x:v>
      </x:c>
      <x:c r="C9" s="30" t="str">
        <x:v>How is underlying inflation evolving?</x:v>
      </x:c>
      <x:c r="D9" s="30" t="str">
        <x:v>Core Inflation</x:v>
      </x:c>
      <x:c r="E9" s="30" t="str">
        <x:v>Underlying inflation measure excluding or adjusting selected volatile components according to the official methodology.</x:v>
      </x:c>
      <x:c r="F9" s="30" t="str">
        <x:v>Use official published methodology/value; do not independently redefine</x:v>
      </x:c>
      <x:c r="G9" s="30" t="str">
        <x:v>%</x:v>
      </x:c>
      <x:c r="H9" s="30" t="str">
        <x:v>Monthly</x:v>
      </x:c>
      <x:c r="I9" s="30" t="str">
        <x:v>Date</x:v>
      </x:c>
      <x:c r="J9" s="30" t="str">
        <x:v>Official core inflation series</x:v>
      </x:c>
      <x:c r="K9" s="30" t="str">
        <x:v>BCRD (to validate)</x:v>
      </x:c>
      <x:c r="L9" s="30" t="str">
        <x:v>gold.inflation_metrics</x:v>
      </x:c>
      <x:c r="M9" s="30" t="str">
        <x:v>Inflation &amp; CPI</x:v>
      </x:c>
      <x:c r="N9" s="30" t="str">
        <x:v>MVP</x:v>
      </x:c>
      <x:c r="O9" s="30" t="str">
        <x:v>Proposed</x:v>
      </x:c>
      <x:c r="P9" s="30" t="str"/>
    </x:row>
    <x:row r="10">
      <x:c r="A10" s="30" t="str">
        <x:v>INF-006</x:v>
      </x:c>
      <x:c r="B10" s="30" t="str">
        <x:v>Inflation &amp; CPI</x:v>
      </x:c>
      <x:c r="C10" s="30" t="str">
        <x:v>Which expenditure groups are experiencing the greatest price changes?</x:v>
      </x:c>
      <x:c r="D10" s="30" t="str">
        <x:v>Inflation by Expenditure Group</x:v>
      </x:c>
      <x:c r="E10" s="30" t="str">
        <x:v>Inflation rate by CPI expenditure group/category.</x:v>
      </x:c>
      <x:c r="F10" s="30" t="str">
        <x:v>Period-over-period change using group CPI or official published rate</x:v>
      </x:c>
      <x:c r="G10" s="30" t="str">
        <x:v>%</x:v>
      </x:c>
      <x:c r="H10" s="30" t="str">
        <x:v>Monthly</x:v>
      </x:c>
      <x:c r="I10" s="30" t="str">
        <x:v>Date; Expenditure Group</x:v>
      </x:c>
      <x:c r="J10" s="30" t="str">
        <x:v>CPI by expenditure group</x:v>
      </x:c>
      <x:c r="K10" s="30" t="str">
        <x:v>BCRD (to validate)</x:v>
      </x:c>
      <x:c r="L10" s="30" t="str">
        <x:v>gold.inflation_metrics</x:v>
      </x:c>
      <x:c r="M10" s="30" t="str">
        <x:v>Inflation &amp; CPI</x:v>
      </x:c>
      <x:c r="N10" s="30" t="str">
        <x:v>MVP</x:v>
      </x:c>
      <x:c r="O10" s="30" t="str">
        <x:v>Proposed</x:v>
      </x:c>
      <x:c r="P10" s="30" t="str"/>
    </x:row>
    <x:row r="11">
      <x:c r="A11" s="30" t="str">
        <x:v>FX-001</x:v>
      </x:c>
      <x:c r="B11" s="30" t="str">
        <x:v>Foreign Exchange</x:v>
      </x:c>
      <x:c r="C11" s="30" t="str">
        <x:v>How is the Dominican peso performing against the U.S. dollar?</x:v>
      </x:c>
      <x:c r="D11" s="30" t="str">
        <x:v>USD/DOP Buy Rate</x:v>
      </x:c>
      <x:c r="E11" s="30" t="str">
        <x:v>Reference buying exchange rate for USD against DOP.</x:v>
      </x:c>
      <x:c r="F11" s="30" t="str">
        <x:v>Published rate</x:v>
      </x:c>
      <x:c r="G11" s="30" t="str">
        <x:v>DOP/USD</x:v>
      </x:c>
      <x:c r="H11" s="30" t="str">
        <x:v>Daily</x:v>
      </x:c>
      <x:c r="I11" s="30" t="str">
        <x:v>Date; Currency; Rate Type</x:v>
      </x:c>
      <x:c r="J11" s="30" t="str">
        <x:v>Buy rate</x:v>
      </x:c>
      <x:c r="K11" s="30" t="str">
        <x:v>BCRD (to validate)</x:v>
      </x:c>
      <x:c r="L11" s="30" t="str">
        <x:v>gold.exchange_rate_metrics</x:v>
      </x:c>
      <x:c r="M11" s="30" t="str">
        <x:v>FX Market</x:v>
      </x:c>
      <x:c r="N11" s="30" t="str">
        <x:v>MVP</x:v>
      </x:c>
      <x:c r="O11" s="30" t="str">
        <x:v>Proposed</x:v>
      </x:c>
      <x:c r="P11" s="30" t="str"/>
    </x:row>
    <x:row r="12">
      <x:c r="A12" s="30" t="str">
        <x:v>FX-002</x:v>
      </x:c>
      <x:c r="B12" s="30" t="str">
        <x:v>Foreign Exchange</x:v>
      </x:c>
      <x:c r="C12" s="30" t="str">
        <x:v>How is the Dominican peso performing against the U.S. dollar?</x:v>
      </x:c>
      <x:c r="D12" s="30" t="str">
        <x:v>USD/DOP Sell Rate</x:v>
      </x:c>
      <x:c r="E12" s="30" t="str">
        <x:v>Reference selling exchange rate for USD against DOP.</x:v>
      </x:c>
      <x:c r="F12" s="30" t="str">
        <x:v>Published rate</x:v>
      </x:c>
      <x:c r="G12" s="30" t="str">
        <x:v>DOP/USD</x:v>
      </x:c>
      <x:c r="H12" s="30" t="str">
        <x:v>Daily</x:v>
      </x:c>
      <x:c r="I12" s="30" t="str">
        <x:v>Date; Currency; Rate Type</x:v>
      </x:c>
      <x:c r="J12" s="30" t="str">
        <x:v>Sell rate</x:v>
      </x:c>
      <x:c r="K12" s="30" t="str">
        <x:v>BCRD (to validate)</x:v>
      </x:c>
      <x:c r="L12" s="30" t="str">
        <x:v>gold.exchange_rate_metrics</x:v>
      </x:c>
      <x:c r="M12" s="30" t="str">
        <x:v>FX Market</x:v>
      </x:c>
      <x:c r="N12" s="30" t="str">
        <x:v>MVP</x:v>
      </x:c>
      <x:c r="O12" s="30" t="str">
        <x:v>Proposed</x:v>
      </x:c>
      <x:c r="P12" s="30" t="str"/>
    </x:row>
    <x:row r="13">
      <x:c r="A13" s="30" t="str">
        <x:v>FX-003</x:v>
      </x:c>
      <x:c r="B13" s="30" t="str">
        <x:v>Foreign Exchange</x:v>
      </x:c>
      <x:c r="C13" s="30" t="str">
        <x:v>How is the Dominican peso performing against the U.S. dollar?</x:v>
      </x:c>
      <x:c r="D13" s="30" t="str">
        <x:v>Daily FX Change</x:v>
      </x:c>
      <x:c r="E13" s="30" t="str">
        <x:v>Percentage change versus the prior available trading/observation day.</x:v>
      </x:c>
      <x:c r="F13" s="30" t="str">
        <x:v>(Rate_t / Rate_t-1 - 1) * 100</x:v>
      </x:c>
      <x:c r="G13" s="30" t="str">
        <x:v>%</x:v>
      </x:c>
      <x:c r="H13" s="30" t="str">
        <x:v>Daily</x:v>
      </x:c>
      <x:c r="I13" s="30" t="str">
        <x:v>Date; Currency; Rate Type</x:v>
      </x:c>
      <x:c r="J13" s="30" t="str">
        <x:v>Current and prior rate</x:v>
      </x:c>
      <x:c r="K13" s="30" t="str">
        <x:v>BCRD (to validate)</x:v>
      </x:c>
      <x:c r="L13" s="30" t="str">
        <x:v>gold.exchange_rate_metrics</x:v>
      </x:c>
      <x:c r="M13" s="30" t="str">
        <x:v>FX Market</x:v>
      </x:c>
      <x:c r="N13" s="30" t="str">
        <x:v>MVP</x:v>
      </x:c>
      <x:c r="O13" s="30" t="str">
        <x:v>Proposed</x:v>
      </x:c>
      <x:c r="P13" s="30" t="str"/>
    </x:row>
    <x:row r="14">
      <x:c r="A14" s="30" t="str">
        <x:v>FX-004</x:v>
      </x:c>
      <x:c r="B14" s="30" t="str">
        <x:v>Foreign Exchange</x:v>
      </x:c>
      <x:c r="C14" s="30" t="str">
        <x:v>How is the Dominican peso performing against the U.S. dollar?</x:v>
      </x:c>
      <x:c r="D14" s="30" t="str">
        <x:v>MoM FX Change</x:v>
      </x:c>
      <x:c r="E14" s="30" t="str">
        <x:v>Percentage change versus comparable prior-month reference.</x:v>
      </x:c>
      <x:c r="F14" s="30" t="str">
        <x:v>(Rate_t / Rate_prev_month - 1) * 100</x:v>
      </x:c>
      <x:c r="G14" s="30" t="str">
        <x:v>%</x:v>
      </x:c>
      <x:c r="H14" s="30" t="str">
        <x:v>Monthly</x:v>
      </x:c>
      <x:c r="I14" s="30" t="str">
        <x:v>Date; Currency; Rate Type</x:v>
      </x:c>
      <x:c r="J14" s="30" t="str">
        <x:v>Current and prior-month rate</x:v>
      </x:c>
      <x:c r="K14" s="30" t="str">
        <x:v>BCRD (to validate)</x:v>
      </x:c>
      <x:c r="L14" s="30" t="str">
        <x:v>gold.exchange_rate_metrics</x:v>
      </x:c>
      <x:c r="M14" s="30" t="str">
        <x:v>FX Market</x:v>
      </x:c>
      <x:c r="N14" s="30" t="str">
        <x:v>MVP</x:v>
      </x:c>
      <x:c r="O14" s="30" t="str">
        <x:v>Proposed</x:v>
      </x:c>
      <x:c r="P14" s="30" t="str"/>
    </x:row>
    <x:row r="15">
      <x:c r="A15" s="30" t="str">
        <x:v>FX-005</x:v>
      </x:c>
      <x:c r="B15" s="30" t="str">
        <x:v>Foreign Exchange</x:v>
      </x:c>
      <x:c r="C15" s="30" t="str">
        <x:v>How is the Dominican peso performing against the U.S. dollar?</x:v>
      </x:c>
      <x:c r="D15" s="30" t="str">
        <x:v>YoY FX Change</x:v>
      </x:c>
      <x:c r="E15" s="30" t="str">
        <x:v>Percentage change versus the comparable period one year earlier.</x:v>
      </x:c>
      <x:c r="F15" s="30" t="str">
        <x:v>(Rate_t / Rate_t-1year - 1) * 100</x:v>
      </x:c>
      <x:c r="G15" s="30" t="str">
        <x:v>%</x:v>
      </x:c>
      <x:c r="H15" s="30" t="str">
        <x:v>Monthly</x:v>
      </x:c>
      <x:c r="I15" s="30" t="str">
        <x:v>Date; Currency; Rate Type</x:v>
      </x:c>
      <x:c r="J15" s="30" t="str">
        <x:v>Current and year-ago rate</x:v>
      </x:c>
      <x:c r="K15" s="30" t="str">
        <x:v>BCRD (to validate)</x:v>
      </x:c>
      <x:c r="L15" s="30" t="str">
        <x:v>gold.exchange_rate_metrics</x:v>
      </x:c>
      <x:c r="M15" s="30" t="str">
        <x:v>FX Market</x:v>
      </x:c>
      <x:c r="N15" s="30" t="str">
        <x:v>MVP</x:v>
      </x:c>
      <x:c r="O15" s="30" t="str">
        <x:v>Proposed</x:v>
      </x:c>
      <x:c r="P15" s="30" t="str"/>
    </x:row>
    <x:row r="16">
      <x:c r="A16" s="30" t="str">
        <x:v>FX-006</x:v>
      </x:c>
      <x:c r="B16" s="30" t="str">
        <x:v>Foreign Exchange</x:v>
      </x:c>
      <x:c r="C16" s="30" t="str">
        <x:v>How is the Dominican peso performing against the U.S. dollar?</x:v>
      </x:c>
      <x:c r="D16" s="30" t="str">
        <x:v>YTD FX Change</x:v>
      </x:c>
      <x:c r="E16" s="30" t="str">
        <x:v>Percentage change versus the final observation of the prior year.</x:v>
      </x:c>
      <x:c r="F16" s="30" t="str">
        <x:v>(Rate_t / Rate_last_prev_year - 1) * 100</x:v>
      </x:c>
      <x:c r="G16" s="30" t="str">
        <x:v>%</x:v>
      </x:c>
      <x:c r="H16" s="30" t="str">
        <x:v>Daily / Monthly</x:v>
      </x:c>
      <x:c r="I16" s="30" t="str">
        <x:v>Date; Currency; Rate Type</x:v>
      </x:c>
      <x:c r="J16" s="30" t="str">
        <x:v>Current and prior-year-end rate</x:v>
      </x:c>
      <x:c r="K16" s="30" t="str">
        <x:v>BCRD (to validate)</x:v>
      </x:c>
      <x:c r="L16" s="30" t="str">
        <x:v>gold.exchange_rate_metrics</x:v>
      </x:c>
      <x:c r="M16" s="30" t="str">
        <x:v>FX Market</x:v>
      </x:c>
      <x:c r="N16" s="30" t="str">
        <x:v>MVP</x:v>
      </x:c>
      <x:c r="O16" s="30" t="str">
        <x:v>Proposed</x:v>
      </x:c>
      <x:c r="P16" s="30" t="str"/>
    </x:row>
    <x:row r="17">
      <x:c r="A17" s="30" t="str">
        <x:v>FX-007</x:v>
      </x:c>
      <x:c r="B17" s="30" t="str">
        <x:v>Foreign Exchange</x:v>
      </x:c>
      <x:c r="C17" s="30" t="str">
        <x:v>How is the Dominican peso performing against the U.S. dollar?</x:v>
      </x:c>
      <x:c r="D17" s="30" t="str">
        <x:v>30-Day Moving Average</x:v>
      </x:c>
      <x:c r="E17" s="30" t="str">
        <x:v>Rolling 30-observation/day average exchange rate.</x:v>
      </x:c>
      <x:c r="F17" s="30" t="str">
        <x:v>AVG(rate) over trailing 30-day window</x:v>
      </x:c>
      <x:c r="G17" s="30" t="str">
        <x:v>DOP/USD</x:v>
      </x:c>
      <x:c r="H17" s="30" t="str">
        <x:v>Daily</x:v>
      </x:c>
      <x:c r="I17" s="30" t="str">
        <x:v>Date; Currency; Rate Type</x:v>
      </x:c>
      <x:c r="J17" s="30" t="str">
        <x:v>Daily exchange rate history</x:v>
      </x:c>
      <x:c r="K17" s="30" t="str">
        <x:v>BCRD (to validate)</x:v>
      </x:c>
      <x:c r="L17" s="30" t="str">
        <x:v>gold.exchange_rate_metrics</x:v>
      </x:c>
      <x:c r="M17" s="30" t="str">
        <x:v>FX Market</x:v>
      </x:c>
      <x:c r="N17" s="30" t="str">
        <x:v>MVP</x:v>
      </x:c>
      <x:c r="O17" s="30" t="str">
        <x:v>Proposed</x:v>
      </x:c>
      <x:c r="P17" s="30" t="str"/>
    </x:row>
    <x:row r="18">
      <x:c r="A18" s="30" t="str">
        <x:v>FX-008</x:v>
      </x:c>
      <x:c r="B18" s="30" t="str">
        <x:v>Foreign Exchange</x:v>
      </x:c>
      <x:c r="C18" s="30" t="str">
        <x:v>How is the Dominican peso performing against the U.S. dollar?</x:v>
      </x:c>
      <x:c r="D18" s="30" t="str">
        <x:v>52-Week High</x:v>
      </x:c>
      <x:c r="E18" s="30" t="str">
        <x:v>Highest exchange rate in the trailing 52-week window.</x:v>
      </x:c>
      <x:c r="F18" s="30" t="str">
        <x:v>MAX(rate) over trailing 52 weeks</x:v>
      </x:c>
      <x:c r="G18" s="30" t="str">
        <x:v>DOP/USD</x:v>
      </x:c>
      <x:c r="H18" s="30" t="str">
        <x:v>Daily</x:v>
      </x:c>
      <x:c r="I18" s="30" t="str">
        <x:v>Date; Currency; Rate Type</x:v>
      </x:c>
      <x:c r="J18" s="30" t="str">
        <x:v>Daily exchange rate history</x:v>
      </x:c>
      <x:c r="K18" s="30" t="str">
        <x:v>BCRD (to validate)</x:v>
      </x:c>
      <x:c r="L18" s="30" t="str">
        <x:v>gold.exchange_rate_metrics</x:v>
      </x:c>
      <x:c r="M18" s="30" t="str">
        <x:v>FX Market</x:v>
      </x:c>
      <x:c r="N18" s="30" t="str">
        <x:v>MVP</x:v>
      </x:c>
      <x:c r="O18" s="30" t="str">
        <x:v>Proposed</x:v>
      </x:c>
      <x:c r="P18" s="30" t="str"/>
    </x:row>
    <x:row r="19">
      <x:c r="A19" s="30" t="str">
        <x:v>FX-009</x:v>
      </x:c>
      <x:c r="B19" s="30" t="str">
        <x:v>Foreign Exchange</x:v>
      </x:c>
      <x:c r="C19" s="30" t="str">
        <x:v>How is the Dominican peso performing against the U.S. dollar?</x:v>
      </x:c>
      <x:c r="D19" s="30" t="str">
        <x:v>52-Week Low</x:v>
      </x:c>
      <x:c r="E19" s="30" t="str">
        <x:v>Lowest exchange rate in the trailing 52-week window.</x:v>
      </x:c>
      <x:c r="F19" s="30" t="str">
        <x:v>MIN(rate) over trailing 52 weeks</x:v>
      </x:c>
      <x:c r="G19" s="30" t="str">
        <x:v>DOP/USD</x:v>
      </x:c>
      <x:c r="H19" s="30" t="str">
        <x:v>Daily</x:v>
      </x:c>
      <x:c r="I19" s="30" t="str">
        <x:v>Date; Currency; Rate Type</x:v>
      </x:c>
      <x:c r="J19" s="30" t="str">
        <x:v>Daily exchange rate history</x:v>
      </x:c>
      <x:c r="K19" s="30" t="str">
        <x:v>BCRD (to validate)</x:v>
      </x:c>
      <x:c r="L19" s="30" t="str">
        <x:v>gold.exchange_rate_metrics</x:v>
      </x:c>
      <x:c r="M19" s="30" t="str">
        <x:v>FX Market</x:v>
      </x:c>
      <x:c r="N19" s="30" t="str">
        <x:v>MVP</x:v>
      </x:c>
      <x:c r="O19" s="30" t="str">
        <x:v>Proposed</x:v>
      </x:c>
      <x:c r="P19" s="30" t="str"/>
    </x:row>
    <x:row r="20">
      <x:c r="A20" s="30" t="str">
        <x:v>MON-001</x:v>
      </x:c>
      <x:c r="B20" s="30" t="str">
        <x:v>Monetary Policy</x:v>
      </x:c>
      <x:c r="C20" s="30" t="str">
        <x:v>How has monetary policy evolved relative to inflation?</x:v>
      </x:c>
      <x:c r="D20" s="30" t="str">
        <x:v>Monetary Policy Rate</x:v>
      </x:c>
      <x:c r="E20" s="30" t="str">
        <x:v>Official monetary policy reference rate.</x:v>
      </x:c>
      <x:c r="F20" s="30" t="str">
        <x:v>Published rate</x:v>
      </x:c>
      <x:c r="G20" s="30" t="str">
        <x:v>%</x:v>
      </x:c>
      <x:c r="H20" s="30" t="str">
        <x:v>Monthly / Event-based</x:v>
      </x:c>
      <x:c r="I20" s="30" t="str">
        <x:v>Date</x:v>
      </x:c>
      <x:c r="J20" s="30" t="str">
        <x:v>Policy rate</x:v>
      </x:c>
      <x:c r="K20" s="30" t="str">
        <x:v>BCRD (to validate)</x:v>
      </x:c>
      <x:c r="L20" s="30" t="str">
        <x:v>gold.monetary_policy_metrics</x:v>
      </x:c>
      <x:c r="M20" s="30" t="str">
        <x:v>Monetary Policy</x:v>
      </x:c>
      <x:c r="N20" s="30" t="str">
        <x:v>MVP</x:v>
      </x:c>
      <x:c r="O20" s="30" t="str">
        <x:v>Proposed</x:v>
      </x:c>
      <x:c r="P20" s="30" t="str"/>
    </x:row>
    <x:row r="21">
      <x:c r="A21" s="30" t="str">
        <x:v>MON-002</x:v>
      </x:c>
      <x:c r="B21" s="30" t="str">
        <x:v>Monetary Policy</x:v>
      </x:c>
      <x:c r="C21" s="30" t="str">
        <x:v>How has monetary policy evolved relative to inflation?</x:v>
      </x:c>
      <x:c r="D21" s="30" t="str">
        <x:v>Policy Rate Change</x:v>
      </x:c>
      <x:c r="E21" s="30" t="str">
        <x:v>Change in the policy rate from the previous observation, expressed in basis points.</x:v>
      </x:c>
      <x:c r="F21" s="30" t="str">
        <x:v>(Rate_t - Rate_t-1) * 100</x:v>
      </x:c>
      <x:c r="G21" s="30" t="str">
        <x:v>Basis Points</x:v>
      </x:c>
      <x:c r="H21" s="30" t="str">
        <x:v>Event-based</x:v>
      </x:c>
      <x:c r="I21" s="30" t="str">
        <x:v>Date</x:v>
      </x:c>
      <x:c r="J21" s="30" t="str">
        <x:v>Current and prior policy rate</x:v>
      </x:c>
      <x:c r="K21" s="30" t="str">
        <x:v>BCRD (to validate)</x:v>
      </x:c>
      <x:c r="L21" s="30" t="str">
        <x:v>gold.monetary_policy_metrics</x:v>
      </x:c>
      <x:c r="M21" s="30" t="str">
        <x:v>Monetary Policy</x:v>
      </x:c>
      <x:c r="N21" s="30" t="str">
        <x:v>MVP</x:v>
      </x:c>
      <x:c r="O21" s="30" t="str">
        <x:v>Proposed</x:v>
      </x:c>
      <x:c r="P21" s="30" t="str"/>
    </x:row>
    <x:row r="22">
      <x:c r="A22" s="30" t="str">
        <x:v>MON-003</x:v>
      </x:c>
      <x:c r="B22" s="30" t="str">
        <x:v>Monetary Policy</x:v>
      </x:c>
      <x:c r="C22" s="30" t="str">
        <x:v>How has monetary policy evolved relative to inflation?</x:v>
      </x:c>
      <x:c r="D22" s="30" t="str">
        <x:v>Policy Rate YTD Change</x:v>
      </x:c>
      <x:c r="E22" s="30" t="str">
        <x:v>Cumulative policy-rate change versus the final observation of the prior year.</x:v>
      </x:c>
      <x:c r="F22" s="30" t="str">
        <x:v>(Rate_t - Rate_last_prev_year) * 100</x:v>
      </x:c>
      <x:c r="G22" s="30" t="str">
        <x:v>Basis Points</x:v>
      </x:c>
      <x:c r="H22" s="30" t="str">
        <x:v>Monthly / Event-based</x:v>
      </x:c>
      <x:c r="I22" s="30" t="str">
        <x:v>Date</x:v>
      </x:c>
      <x:c r="J22" s="30" t="str">
        <x:v>Current and prior-year-end policy rate</x:v>
      </x:c>
      <x:c r="K22" s="30" t="str">
        <x:v>BCRD (to validate)</x:v>
      </x:c>
      <x:c r="L22" s="30" t="str">
        <x:v>gold.monetary_policy_metrics</x:v>
      </x:c>
      <x:c r="M22" s="30" t="str">
        <x:v>Monetary Policy</x:v>
      </x:c>
      <x:c r="N22" s="30" t="str">
        <x:v>MVP</x:v>
      </x:c>
      <x:c r="O22" s="30" t="str">
        <x:v>Proposed</x:v>
      </x:c>
      <x:c r="P22" s="30" t="str"/>
    </x:row>
    <x:row r="23">
      <x:c r="A23" s="30" t="str">
        <x:v>MON-004</x:v>
      </x:c>
      <x:c r="B23" s="30" t="str">
        <x:v>Monetary Policy</x:v>
      </x:c>
      <x:c r="C23" s="30" t="str">
        <x:v>How has monetary policy evolved relative to inflation?</x:v>
      </x:c>
      <x:c r="D23" s="30" t="str">
        <x:v>Inflation–Policy Rate Spread</x:v>
      </x:c>
      <x:c r="E23" s="30" t="str">
        <x:v>Difference between the policy rate and YoY inflation.</x:v>
      </x:c>
      <x:c r="F23" s="30" t="str">
        <x:v>Policy Rate - YoY Inflation</x:v>
      </x:c>
      <x:c r="G23" s="30" t="str">
        <x:v>Percentage Points</x:v>
      </x:c>
      <x:c r="H23" s="30" t="str">
        <x:v>Monthly</x:v>
      </x:c>
      <x:c r="I23" s="30" t="str">
        <x:v>Date</x:v>
      </x:c>
      <x:c r="J23" s="30" t="str">
        <x:v>Policy rate; YoY inflation</x:v>
      </x:c>
      <x:c r="K23" s="30" t="str">
        <x:v>BCRD (to validate)</x:v>
      </x:c>
      <x:c r="L23" s="30" t="str">
        <x:v>gold.monetary_policy_metrics</x:v>
      </x:c>
      <x:c r="M23" s="30" t="str">
        <x:v>Monetary Policy</x:v>
      </x:c>
      <x:c r="N23" s="30" t="str">
        <x:v>MVP</x:v>
      </x:c>
      <x:c r="O23" s="30" t="str">
        <x:v>Proposed</x:v>
      </x:c>
      <x:c r="P23" s="30" t="str"/>
    </x:row>
    <x:row r="24">
      <x:c r="A24" s="30" t="str">
        <x:v>MON-005</x:v>
      </x:c>
      <x:c r="B24" s="30" t="str">
        <x:v>Monetary Policy</x:v>
      </x:c>
      <x:c r="C24" s="30" t="str">
        <x:v>How has monetary policy evolved relative to inflation?</x:v>
      </x:c>
      <x:c r="D24" s="30" t="str">
        <x:v>Real Policy Rate Proxy</x:v>
      </x:c>
      <x:c r="E24" s="30" t="str">
        <x:v>Simple ex-post proxy for the policy rate adjusted by YoY inflation.</x:v>
      </x:c>
      <x:c r="F24" s="30" t="str">
        <x:v>Policy Rate - YoY Inflation</x:v>
      </x:c>
      <x:c r="G24" s="30" t="str">
        <x:v>% / Percentage Points</x:v>
      </x:c>
      <x:c r="H24" s="30" t="str">
        <x:v>Monthly</x:v>
      </x:c>
      <x:c r="I24" s="30" t="str">
        <x:v>Date</x:v>
      </x:c>
      <x:c r="J24" s="30" t="str">
        <x:v>Policy rate; YoY inflation</x:v>
      </x:c>
      <x:c r="K24" s="30" t="str">
        <x:v>BCRD (to validate)</x:v>
      </x:c>
      <x:c r="L24" s="30" t="str">
        <x:v>gold.monetary_policy_metrics</x:v>
      </x:c>
      <x:c r="M24" s="30" t="str">
        <x:v>Monetary Policy</x:v>
      </x:c>
      <x:c r="N24" s="30" t="str">
        <x:v>MVP</x:v>
      </x:c>
      <x:c r="O24" s="30" t="str">
        <x:v>Proposed</x:v>
      </x:c>
      <x:c r="P24" s="30" t="str">
        <x:v>Label explicitly as a proxy; not a full expected real-rate measure.</x:v>
      </x:c>
    </x:row>
    <x:row r="25">
      <x:c r="A25" s="30" t="str">
        <x:v>FUEL-001</x:v>
      </x:c>
      <x:c r="B25" s="30" t="str">
        <x:v>Fuel Market</x:v>
      </x:c>
      <x:c r="C25" s="30" t="str">
        <x:v>How are fuel prices evolving in the Dominican Republic?</x:v>
      </x:c>
      <x:c r="D25" s="30" t="str">
        <x:v>Current Fuel Price</x:v>
      </x:c>
      <x:c r="E25" s="30" t="str">
        <x:v>Latest observed official/reference retail fuel price.</x:v>
      </x:c>
      <x:c r="F25" s="30" t="str">
        <x:v>Latest available price</x:v>
      </x:c>
      <x:c r="G25" s="30" t="str">
        <x:v>DOP / unit</x:v>
      </x:c>
      <x:c r="H25" s="30" t="str">
        <x:v>Weekly</x:v>
      </x:c>
      <x:c r="I25" s="30" t="str">
        <x:v>Date; Fuel Type; Unit</x:v>
      </x:c>
      <x:c r="J25" s="30" t="str">
        <x:v>Fuel type; date; price; unit</x:v>
      </x:c>
      <x:c r="K25" s="30" t="str">
        <x:v>MICM (to validate)</x:v>
      </x:c>
      <x:c r="L25" s="30" t="str">
        <x:v>gold.fuel_price_metrics</x:v>
      </x:c>
      <x:c r="M25" s="30" t="str">
        <x:v>Fuel &amp; Oil Market</x:v>
      </x:c>
      <x:c r="N25" s="30" t="str">
        <x:v>MVP</x:v>
      </x:c>
      <x:c r="O25" s="30" t="str">
        <x:v>Proposed</x:v>
      </x:c>
      <x:c r="P25" s="30" t="str"/>
    </x:row>
    <x:row r="26">
      <x:c r="A26" s="30" t="str">
        <x:v>FUEL-002</x:v>
      </x:c>
      <x:c r="B26" s="30" t="str">
        <x:v>Fuel Market</x:v>
      </x:c>
      <x:c r="C26" s="30" t="str">
        <x:v>How are fuel prices evolving in the Dominican Republic?</x:v>
      </x:c>
      <x:c r="D26" s="30" t="str">
        <x:v>Previous Week Price</x:v>
      </x:c>
      <x:c r="E26" s="30" t="str">
        <x:v>Fuel price from the prior weekly observation.</x:v>
      </x:c>
      <x:c r="F26" s="30" t="str">
        <x:v>Prior weekly price</x:v>
      </x:c>
      <x:c r="G26" s="30" t="str">
        <x:v>DOP / unit</x:v>
      </x:c>
      <x:c r="H26" s="30" t="str">
        <x:v>Weekly</x:v>
      </x:c>
      <x:c r="I26" s="30" t="str">
        <x:v>Date; Fuel Type; Unit</x:v>
      </x:c>
      <x:c r="J26" s="30" t="str">
        <x:v>Fuel type; date; price; unit</x:v>
      </x:c>
      <x:c r="K26" s="30" t="str">
        <x:v>MICM (to validate)</x:v>
      </x:c>
      <x:c r="L26" s="30" t="str">
        <x:v>gold.fuel_price_metrics</x:v>
      </x:c>
      <x:c r="M26" s="30" t="str">
        <x:v>Fuel &amp; Oil Market</x:v>
      </x:c>
      <x:c r="N26" s="30" t="str">
        <x:v>MVP</x:v>
      </x:c>
      <x:c r="O26" s="30" t="str">
        <x:v>Proposed</x:v>
      </x:c>
      <x:c r="P26" s="30" t="str"/>
    </x:row>
    <x:row r="27">
      <x:c r="A27" s="30" t="str">
        <x:v>FUEL-003</x:v>
      </x:c>
      <x:c r="B27" s="30" t="str">
        <x:v>Fuel Market</x:v>
      </x:c>
      <x:c r="C27" s="30" t="str">
        <x:v>How are fuel prices evolving in the Dominican Republic?</x:v>
      </x:c>
      <x:c r="D27" s="30" t="str">
        <x:v>Weekly Price Change</x:v>
      </x:c>
      <x:c r="E27" s="30" t="str">
        <x:v>Absolute change versus previous week.</x:v>
      </x:c>
      <x:c r="F27" s="30" t="str">
        <x:v>Price_t - Price_t-1</x:v>
      </x:c>
      <x:c r="G27" s="30" t="str">
        <x:v>DOP / unit</x:v>
      </x:c>
      <x:c r="H27" s="30" t="str">
        <x:v>Weekly</x:v>
      </x:c>
      <x:c r="I27" s="30" t="str">
        <x:v>Date; Fuel Type; Unit</x:v>
      </x:c>
      <x:c r="J27" s="30" t="str">
        <x:v>Fuel type; date; price; unit</x:v>
      </x:c>
      <x:c r="K27" s="30" t="str">
        <x:v>MICM (to validate)</x:v>
      </x:c>
      <x:c r="L27" s="30" t="str">
        <x:v>gold.fuel_price_metrics</x:v>
      </x:c>
      <x:c r="M27" s="30" t="str">
        <x:v>Fuel &amp; Oil Market</x:v>
      </x:c>
      <x:c r="N27" s="30" t="str">
        <x:v>MVP</x:v>
      </x:c>
      <x:c r="O27" s="30" t="str">
        <x:v>Proposed</x:v>
      </x:c>
      <x:c r="P27" s="30" t="str"/>
    </x:row>
    <x:row r="28">
      <x:c r="A28" s="30" t="str">
        <x:v>FUEL-004</x:v>
      </x:c>
      <x:c r="B28" s="30" t="str">
        <x:v>Fuel Market</x:v>
      </x:c>
      <x:c r="C28" s="30" t="str">
        <x:v>How are fuel prices evolving in the Dominican Republic?</x:v>
      </x:c>
      <x:c r="D28" s="30" t="str">
        <x:v>Weekly Price Change %</x:v>
      </x:c>
      <x:c r="E28" s="30" t="str">
        <x:v>Percentage change versus previous week.</x:v>
      </x:c>
      <x:c r="F28" s="30" t="str">
        <x:v>(Price_t / Price_t-1 - 1) * 100</x:v>
      </x:c>
      <x:c r="G28" s="30" t="str">
        <x:v>%</x:v>
      </x:c>
      <x:c r="H28" s="30" t="str">
        <x:v>Weekly</x:v>
      </x:c>
      <x:c r="I28" s="30" t="str">
        <x:v>Date; Fuel Type; Unit</x:v>
      </x:c>
      <x:c r="J28" s="30" t="str">
        <x:v>Fuel type; date; price; unit</x:v>
      </x:c>
      <x:c r="K28" s="30" t="str">
        <x:v>MICM (to validate)</x:v>
      </x:c>
      <x:c r="L28" s="30" t="str">
        <x:v>gold.fuel_price_metrics</x:v>
      </x:c>
      <x:c r="M28" s="30" t="str">
        <x:v>Fuel &amp; Oil Market</x:v>
      </x:c>
      <x:c r="N28" s="30" t="str">
        <x:v>MVP</x:v>
      </x:c>
      <x:c r="O28" s="30" t="str">
        <x:v>Proposed</x:v>
      </x:c>
      <x:c r="P28" s="30" t="str"/>
    </x:row>
    <x:row r="29">
      <x:c r="A29" s="30" t="str">
        <x:v>FUEL-005</x:v>
      </x:c>
      <x:c r="B29" s="30" t="str">
        <x:v>Fuel Market</x:v>
      </x:c>
      <x:c r="C29" s="30" t="str">
        <x:v>How are fuel prices evolving in the Dominican Republic?</x:v>
      </x:c>
      <x:c r="D29" s="30" t="str">
        <x:v>Monthly Price Change %</x:v>
      </x:c>
      <x:c r="E29" s="30" t="str">
        <x:v>Percentage change versus comparable prior-month price.</x:v>
      </x:c>
      <x:c r="F29" s="30" t="str">
        <x:v>(Price_t / Price_prev_month - 1) * 100</x:v>
      </x:c>
      <x:c r="G29" s="30" t="str">
        <x:v>%</x:v>
      </x:c>
      <x:c r="H29" s="30" t="str">
        <x:v>Weekly</x:v>
      </x:c>
      <x:c r="I29" s="30" t="str">
        <x:v>Date; Fuel Type; Unit</x:v>
      </x:c>
      <x:c r="J29" s="30" t="str">
        <x:v>Fuel type; date; price; unit</x:v>
      </x:c>
      <x:c r="K29" s="30" t="str">
        <x:v>MICM (to validate)</x:v>
      </x:c>
      <x:c r="L29" s="30" t="str">
        <x:v>gold.fuel_price_metrics</x:v>
      </x:c>
      <x:c r="M29" s="30" t="str">
        <x:v>Fuel &amp; Oil Market</x:v>
      </x:c>
      <x:c r="N29" s="30" t="str">
        <x:v>MVP</x:v>
      </x:c>
      <x:c r="O29" s="30" t="str">
        <x:v>Proposed</x:v>
      </x:c>
      <x:c r="P29" s="30" t="str"/>
    </x:row>
    <x:row r="30">
      <x:c r="A30" s="30" t="str">
        <x:v>FUEL-006</x:v>
      </x:c>
      <x:c r="B30" s="30" t="str">
        <x:v>Fuel Market</x:v>
      </x:c>
      <x:c r="C30" s="30" t="str">
        <x:v>How are fuel prices evolving in the Dominican Republic?</x:v>
      </x:c>
      <x:c r="D30" s="30" t="str">
        <x:v>YoY Price Change %</x:v>
      </x:c>
      <x:c r="E30" s="30" t="str">
        <x:v>Percentage change versus comparable period one year earlier.</x:v>
      </x:c>
      <x:c r="F30" s="30" t="str">
        <x:v>(Price_t / Price_t-1year - 1) * 100</x:v>
      </x:c>
      <x:c r="G30" s="30" t="str">
        <x:v>%</x:v>
      </x:c>
      <x:c r="H30" s="30" t="str">
        <x:v>Weekly</x:v>
      </x:c>
      <x:c r="I30" s="30" t="str">
        <x:v>Date; Fuel Type; Unit</x:v>
      </x:c>
      <x:c r="J30" s="30" t="str">
        <x:v>Fuel type; date; price; unit</x:v>
      </x:c>
      <x:c r="K30" s="30" t="str">
        <x:v>MICM (to validate)</x:v>
      </x:c>
      <x:c r="L30" s="30" t="str">
        <x:v>gold.fuel_price_metrics</x:v>
      </x:c>
      <x:c r="M30" s="30" t="str">
        <x:v>Fuel &amp; Oil Market</x:v>
      </x:c>
      <x:c r="N30" s="30" t="str">
        <x:v>MVP</x:v>
      </x:c>
      <x:c r="O30" s="30" t="str">
        <x:v>Proposed</x:v>
      </x:c>
      <x:c r="P30" s="30" t="str"/>
    </x:row>
    <x:row r="31">
      <x:c r="A31" s="30" t="str">
        <x:v>FUEL-007</x:v>
      </x:c>
      <x:c r="B31" s="30" t="str">
        <x:v>Fuel Market</x:v>
      </x:c>
      <x:c r="C31" s="30" t="str">
        <x:v>How are fuel prices evolving in the Dominican Republic?</x:v>
      </x:c>
      <x:c r="D31" s="30" t="str">
        <x:v>YTD Price Change %</x:v>
      </x:c>
      <x:c r="E31" s="30" t="str">
        <x:v>Percentage change versus final observation of prior year.</x:v>
      </x:c>
      <x:c r="F31" s="30" t="str">
        <x:v>(Price_t / Price_last_prev_year - 1) * 100</x:v>
      </x:c>
      <x:c r="G31" s="30" t="str">
        <x:v>%</x:v>
      </x:c>
      <x:c r="H31" s="30" t="str">
        <x:v>Weekly</x:v>
      </x:c>
      <x:c r="I31" s="30" t="str">
        <x:v>Date; Fuel Type; Unit</x:v>
      </x:c>
      <x:c r="J31" s="30" t="str">
        <x:v>Fuel type; date; price; unit</x:v>
      </x:c>
      <x:c r="K31" s="30" t="str">
        <x:v>MICM (to validate)</x:v>
      </x:c>
      <x:c r="L31" s="30" t="str">
        <x:v>gold.fuel_price_metrics</x:v>
      </x:c>
      <x:c r="M31" s="30" t="str">
        <x:v>Fuel &amp; Oil Market</x:v>
      </x:c>
      <x:c r="N31" s="30" t="str">
        <x:v>MVP</x:v>
      </x:c>
      <x:c r="O31" s="30" t="str">
        <x:v>Proposed</x:v>
      </x:c>
      <x:c r="P31" s="30" t="str"/>
    </x:row>
    <x:row r="32">
      <x:c r="A32" s="30" t="str">
        <x:v>FUEL-008</x:v>
      </x:c>
      <x:c r="B32" s="30" t="str">
        <x:v>Fuel Market</x:v>
      </x:c>
      <x:c r="C32" s="30" t="str">
        <x:v>How are fuel prices evolving in the Dominican Republic?</x:v>
      </x:c>
      <x:c r="D32" s="30" t="str">
        <x:v>4-Week Moving Average</x:v>
      </x:c>
      <x:c r="E32" s="30" t="str">
        <x:v>Average price over trailing four weekly observations.</x:v>
      </x:c>
      <x:c r="F32" s="30" t="str">
        <x:v>AVG(price) trailing 4 observations</x:v>
      </x:c>
      <x:c r="G32" s="30" t="str">
        <x:v>DOP / unit</x:v>
      </x:c>
      <x:c r="H32" s="30" t="str">
        <x:v>Weekly</x:v>
      </x:c>
      <x:c r="I32" s="30" t="str">
        <x:v>Date; Fuel Type; Unit</x:v>
      </x:c>
      <x:c r="J32" s="30" t="str">
        <x:v>Fuel type; date; price; unit</x:v>
      </x:c>
      <x:c r="K32" s="30" t="str">
        <x:v>MICM (to validate)</x:v>
      </x:c>
      <x:c r="L32" s="30" t="str">
        <x:v>gold.fuel_price_metrics</x:v>
      </x:c>
      <x:c r="M32" s="30" t="str">
        <x:v>Fuel &amp; Oil Market</x:v>
      </x:c>
      <x:c r="N32" s="30" t="str">
        <x:v>MVP</x:v>
      </x:c>
      <x:c r="O32" s="30" t="str">
        <x:v>Proposed</x:v>
      </x:c>
      <x:c r="P32" s="30" t="str"/>
    </x:row>
    <x:row r="33">
      <x:c r="A33" s="30" t="str">
        <x:v>FUEL-009</x:v>
      </x:c>
      <x:c r="B33" s="30" t="str">
        <x:v>Fuel Market</x:v>
      </x:c>
      <x:c r="C33" s="30" t="str">
        <x:v>How are fuel prices evolving in the Dominican Republic?</x:v>
      </x:c>
      <x:c r="D33" s="30" t="str">
        <x:v>12-Week Moving Average</x:v>
      </x:c>
      <x:c r="E33" s="30" t="str">
        <x:v>Average price over trailing twelve weekly observations.</x:v>
      </x:c>
      <x:c r="F33" s="30" t="str">
        <x:v>AVG(price) trailing 12 observations</x:v>
      </x:c>
      <x:c r="G33" s="30" t="str">
        <x:v>DOP / unit</x:v>
      </x:c>
      <x:c r="H33" s="30" t="str">
        <x:v>Weekly</x:v>
      </x:c>
      <x:c r="I33" s="30" t="str">
        <x:v>Date; Fuel Type; Unit</x:v>
      </x:c>
      <x:c r="J33" s="30" t="str">
        <x:v>Fuel type; date; price; unit</x:v>
      </x:c>
      <x:c r="K33" s="30" t="str">
        <x:v>MICM (to validate)</x:v>
      </x:c>
      <x:c r="L33" s="30" t="str">
        <x:v>gold.fuel_price_metrics</x:v>
      </x:c>
      <x:c r="M33" s="30" t="str">
        <x:v>Fuel &amp; Oil Market</x:v>
      </x:c>
      <x:c r="N33" s="30" t="str">
        <x:v>MVP</x:v>
      </x:c>
      <x:c r="O33" s="30" t="str">
        <x:v>Proposed</x:v>
      </x:c>
      <x:c r="P33" s="30" t="str"/>
    </x:row>
    <x:row r="34">
      <x:c r="A34" s="30" t="str">
        <x:v>FUEL-010</x:v>
      </x:c>
      <x:c r="B34" s="30" t="str">
        <x:v>Fuel Market</x:v>
      </x:c>
      <x:c r="C34" s="30" t="str">
        <x:v>How are fuel prices evolving in the Dominican Republic?</x:v>
      </x:c>
      <x:c r="D34" s="30" t="str">
        <x:v>52-Week High</x:v>
      </x:c>
      <x:c r="E34" s="30" t="str">
        <x:v>Maximum fuel price in trailing 52 weeks.</x:v>
      </x:c>
      <x:c r="F34" s="30" t="str">
        <x:v>MAX(price) trailing 52 weeks</x:v>
      </x:c>
      <x:c r="G34" s="30" t="str">
        <x:v>DOP / unit</x:v>
      </x:c>
      <x:c r="H34" s="30" t="str">
        <x:v>Weekly</x:v>
      </x:c>
      <x:c r="I34" s="30" t="str">
        <x:v>Date; Fuel Type; Unit</x:v>
      </x:c>
      <x:c r="J34" s="30" t="str">
        <x:v>Fuel type; date; price; unit</x:v>
      </x:c>
      <x:c r="K34" s="30" t="str">
        <x:v>MICM (to validate)</x:v>
      </x:c>
      <x:c r="L34" s="30" t="str">
        <x:v>gold.fuel_price_metrics</x:v>
      </x:c>
      <x:c r="M34" s="30" t="str">
        <x:v>Fuel &amp; Oil Market</x:v>
      </x:c>
      <x:c r="N34" s="30" t="str">
        <x:v>MVP</x:v>
      </x:c>
      <x:c r="O34" s="30" t="str">
        <x:v>Proposed</x:v>
      </x:c>
      <x:c r="P34" s="30" t="str"/>
    </x:row>
    <x:row r="35">
      <x:c r="A35" s="30" t="str">
        <x:v>FUEL-011</x:v>
      </x:c>
      <x:c r="B35" s="30" t="str">
        <x:v>Fuel Market</x:v>
      </x:c>
      <x:c r="C35" s="30" t="str">
        <x:v>How are fuel prices evolving in the Dominican Republic?</x:v>
      </x:c>
      <x:c r="D35" s="30" t="str">
        <x:v>52-Week Low</x:v>
      </x:c>
      <x:c r="E35" s="30" t="str">
        <x:v>Minimum fuel price in trailing 52 weeks.</x:v>
      </x:c>
      <x:c r="F35" s="30" t="str">
        <x:v>MIN(price) trailing 52 weeks</x:v>
      </x:c>
      <x:c r="G35" s="30" t="str">
        <x:v>DOP / unit</x:v>
      </x:c>
      <x:c r="H35" s="30" t="str">
        <x:v>Weekly</x:v>
      </x:c>
      <x:c r="I35" s="30" t="str">
        <x:v>Date; Fuel Type; Unit</x:v>
      </x:c>
      <x:c r="J35" s="30" t="str">
        <x:v>Fuel type; date; price; unit</x:v>
      </x:c>
      <x:c r="K35" s="30" t="str">
        <x:v>MICM (to validate)</x:v>
      </x:c>
      <x:c r="L35" s="30" t="str">
        <x:v>gold.fuel_price_metrics</x:v>
      </x:c>
      <x:c r="M35" s="30" t="str">
        <x:v>Fuel &amp; Oil Market</x:v>
      </x:c>
      <x:c r="N35" s="30" t="str">
        <x:v>MVP</x:v>
      </x:c>
      <x:c r="O35" s="30" t="str">
        <x:v>Proposed</x:v>
      </x:c>
      <x:c r="P35" s="30" t="str"/>
    </x:row>
    <x:row r="36">
      <x:c r="A36" s="30" t="str">
        <x:v>FUEL-012</x:v>
      </x:c>
      <x:c r="B36" s="30" t="str">
        <x:v>Fuel Market</x:v>
      </x:c>
      <x:c r="C36" s="30" t="str">
        <x:v>How are fuel prices evolving in the Dominican Republic?</x:v>
      </x:c>
      <x:c r="D36" s="30" t="str">
        <x:v>Fuel Price Volatility</x:v>
      </x:c>
      <x:c r="E36" s="30" t="str">
        <x:v>Dispersion of periodic fuel-price changes over a defined rolling window.</x:v>
      </x:c>
      <x:c r="F36" s="30" t="str">
        <x:v>STDDEV(periodic returns) over configured rolling window</x:v>
      </x:c>
      <x:c r="G36" s="30" t="str">
        <x:v>%</x:v>
      </x:c>
      <x:c r="H36" s="30" t="str">
        <x:v>Weekly</x:v>
      </x:c>
      <x:c r="I36" s="30" t="str">
        <x:v>Date; Fuel Type; Unit</x:v>
      </x:c>
      <x:c r="J36" s="30" t="str">
        <x:v>Fuel type; date; price; unit</x:v>
      </x:c>
      <x:c r="K36" s="30" t="str">
        <x:v>MICM (to validate)</x:v>
      </x:c>
      <x:c r="L36" s="30" t="str">
        <x:v>gold.fuel_price_metrics</x:v>
      </x:c>
      <x:c r="M36" s="30" t="str">
        <x:v>Fuel &amp; Oil Market</x:v>
      </x:c>
      <x:c r="N36" s="30" t="str">
        <x:v>MVP</x:v>
      </x:c>
      <x:c r="O36" s="30" t="str">
        <x:v>Proposed</x:v>
      </x:c>
      <x:c r="P36" s="30" t="str">
        <x:v>Volatility window/method to be finalized.</x:v>
      </x:c>
    </x:row>
    <x:row r="37">
      <x:c r="A37" s="30" t="str">
        <x:v>OIL-001</x:v>
      </x:c>
      <x:c r="B37" s="30" t="str">
        <x:v>International Oil</x:v>
      </x:c>
      <x:c r="C37" s="30" t="str">
        <x:v>How are international oil prices evolving?</x:v>
      </x:c>
      <x:c r="D37" s="30" t="str">
        <x:v>WTI Price</x:v>
      </x:c>
      <x:c r="E37" s="30" t="str">
        <x:v>Reference WTI crude-oil price.</x:v>
      </x:c>
      <x:c r="F37" s="30" t="str">
        <x:v>Published market/reference value</x:v>
      </x:c>
      <x:c r="G37" s="30" t="str">
        <x:v>USD/barrel</x:v>
      </x:c>
      <x:c r="H37" s="30" t="str">
        <x:v>Daily</x:v>
      </x:c>
      <x:c r="I37" s="30" t="str">
        <x:v>Date; Benchmark</x:v>
      </x:c>
      <x:c r="J37" s="30" t="str">
        <x:v>Date; benchmark; price</x:v>
      </x:c>
      <x:c r="K37" s="30" t="str">
        <x:v>U.S. EIA / reputable market source (to validate)</x:v>
      </x:c>
      <x:c r="L37" s="30" t="str">
        <x:v>gold.oil_market_metrics</x:v>
      </x:c>
      <x:c r="M37" s="30" t="str">
        <x:v>Fuel &amp; Oil Market</x:v>
      </x:c>
      <x:c r="N37" s="30" t="str">
        <x:v>MVP</x:v>
      </x:c>
      <x:c r="O37" s="30" t="str">
        <x:v>Proposed</x:v>
      </x:c>
      <x:c r="P37" s="30" t="str"/>
    </x:row>
    <x:row r="38">
      <x:c r="A38" s="30" t="str">
        <x:v>OIL-002</x:v>
      </x:c>
      <x:c r="B38" s="30" t="str">
        <x:v>International Oil</x:v>
      </x:c>
      <x:c r="C38" s="30" t="str">
        <x:v>How are international oil prices evolving?</x:v>
      </x:c>
      <x:c r="D38" s="30" t="str">
        <x:v>Brent Price</x:v>
      </x:c>
      <x:c r="E38" s="30" t="str">
        <x:v>Reference Brent crude-oil price.</x:v>
      </x:c>
      <x:c r="F38" s="30" t="str">
        <x:v>Published market/reference value</x:v>
      </x:c>
      <x:c r="G38" s="30" t="str">
        <x:v>USD/barrel</x:v>
      </x:c>
      <x:c r="H38" s="30" t="str">
        <x:v>Daily</x:v>
      </x:c>
      <x:c r="I38" s="30" t="str">
        <x:v>Date; Benchmark</x:v>
      </x:c>
      <x:c r="J38" s="30" t="str">
        <x:v>Date; benchmark; price</x:v>
      </x:c>
      <x:c r="K38" s="30" t="str">
        <x:v>U.S. EIA / reputable market source (to validate)</x:v>
      </x:c>
      <x:c r="L38" s="30" t="str">
        <x:v>gold.oil_market_metrics</x:v>
      </x:c>
      <x:c r="M38" s="30" t="str">
        <x:v>Fuel &amp; Oil Market</x:v>
      </x:c>
      <x:c r="N38" s="30" t="str">
        <x:v>MVP</x:v>
      </x:c>
      <x:c r="O38" s="30" t="str">
        <x:v>Proposed</x:v>
      </x:c>
      <x:c r="P38" s="30" t="str"/>
    </x:row>
    <x:row r="39">
      <x:c r="A39" s="30" t="str">
        <x:v>OIL-003</x:v>
      </x:c>
      <x:c r="B39" s="30" t="str">
        <x:v>International Oil</x:v>
      </x:c>
      <x:c r="C39" s="30" t="str">
        <x:v>How are international oil prices evolving?</x:v>
      </x:c>
      <x:c r="D39" s="30" t="str">
        <x:v>WTI WoW %</x:v>
      </x:c>
      <x:c r="E39" s="30" t="str">
        <x:v>Weekly percentage change in WTI.</x:v>
      </x:c>
      <x:c r="F39" s="30" t="str">
        <x:v>(WTI_t / WTI_prev_week - 1) * 100</x:v>
      </x:c>
      <x:c r="G39" s="30" t="str">
        <x:v>%</x:v>
      </x:c>
      <x:c r="H39" s="30" t="str">
        <x:v>Daily</x:v>
      </x:c>
      <x:c r="I39" s="30" t="str">
        <x:v>Date; Benchmark</x:v>
      </x:c>
      <x:c r="J39" s="30" t="str">
        <x:v>Date; benchmark; price</x:v>
      </x:c>
      <x:c r="K39" s="30" t="str">
        <x:v>U.S. EIA / reputable market source (to validate)</x:v>
      </x:c>
      <x:c r="L39" s="30" t="str">
        <x:v>gold.oil_market_metrics</x:v>
      </x:c>
      <x:c r="M39" s="30" t="str">
        <x:v>Fuel &amp; Oil Market</x:v>
      </x:c>
      <x:c r="N39" s="30" t="str">
        <x:v>MVP</x:v>
      </x:c>
      <x:c r="O39" s="30" t="str">
        <x:v>Proposed</x:v>
      </x:c>
      <x:c r="P39" s="30" t="str"/>
    </x:row>
    <x:row r="40">
      <x:c r="A40" s="30" t="str">
        <x:v>OIL-004</x:v>
      </x:c>
      <x:c r="B40" s="30" t="str">
        <x:v>International Oil</x:v>
      </x:c>
      <x:c r="C40" s="30" t="str">
        <x:v>How are international oil prices evolving?</x:v>
      </x:c>
      <x:c r="D40" s="30" t="str">
        <x:v>Brent WoW %</x:v>
      </x:c>
      <x:c r="E40" s="30" t="str">
        <x:v>Weekly percentage change in Brent.</x:v>
      </x:c>
      <x:c r="F40" s="30" t="str">
        <x:v>(Brent_t / Brent_prev_week - 1) * 100</x:v>
      </x:c>
      <x:c r="G40" s="30" t="str">
        <x:v>%</x:v>
      </x:c>
      <x:c r="H40" s="30" t="str">
        <x:v>Daily</x:v>
      </x:c>
      <x:c r="I40" s="30" t="str">
        <x:v>Date; Benchmark</x:v>
      </x:c>
      <x:c r="J40" s="30" t="str">
        <x:v>Date; benchmark; price</x:v>
      </x:c>
      <x:c r="K40" s="30" t="str">
        <x:v>U.S. EIA / reputable market source (to validate)</x:v>
      </x:c>
      <x:c r="L40" s="30" t="str">
        <x:v>gold.oil_market_metrics</x:v>
      </x:c>
      <x:c r="M40" s="30" t="str">
        <x:v>Fuel &amp; Oil Market</x:v>
      </x:c>
      <x:c r="N40" s="30" t="str">
        <x:v>MVP</x:v>
      </x:c>
      <x:c r="O40" s="30" t="str">
        <x:v>Proposed</x:v>
      </x:c>
      <x:c r="P40" s="30" t="str"/>
    </x:row>
    <x:row r="41">
      <x:c r="A41" s="30" t="str">
        <x:v>OIL-005</x:v>
      </x:c>
      <x:c r="B41" s="30" t="str">
        <x:v>International Oil</x:v>
      </x:c>
      <x:c r="C41" s="30" t="str">
        <x:v>How are international oil prices evolving?</x:v>
      </x:c>
      <x:c r="D41" s="30" t="str">
        <x:v>WTI MoM %</x:v>
      </x:c>
      <x:c r="E41" s="30" t="str">
        <x:v>Monthly percentage change in WTI.</x:v>
      </x:c>
      <x:c r="F41" s="30" t="str">
        <x:v>(WTI_t / WTI_prev_month - 1) * 100</x:v>
      </x:c>
      <x:c r="G41" s="30" t="str">
        <x:v>%</x:v>
      </x:c>
      <x:c r="H41" s="30" t="str">
        <x:v>Daily</x:v>
      </x:c>
      <x:c r="I41" s="30" t="str">
        <x:v>Date; Benchmark</x:v>
      </x:c>
      <x:c r="J41" s="30" t="str">
        <x:v>Date; benchmark; price</x:v>
      </x:c>
      <x:c r="K41" s="30" t="str">
        <x:v>U.S. EIA / reputable market source (to validate)</x:v>
      </x:c>
      <x:c r="L41" s="30" t="str">
        <x:v>gold.oil_market_metrics</x:v>
      </x:c>
      <x:c r="M41" s="30" t="str">
        <x:v>Fuel &amp; Oil Market</x:v>
      </x:c>
      <x:c r="N41" s="30" t="str">
        <x:v>MVP</x:v>
      </x:c>
      <x:c r="O41" s="30" t="str">
        <x:v>Proposed</x:v>
      </x:c>
      <x:c r="P41" s="30" t="str"/>
    </x:row>
    <x:row r="42">
      <x:c r="A42" s="30" t="str">
        <x:v>OIL-006</x:v>
      </x:c>
      <x:c r="B42" s="30" t="str">
        <x:v>International Oil</x:v>
      </x:c>
      <x:c r="C42" s="30" t="str">
        <x:v>How are international oil prices evolving?</x:v>
      </x:c>
      <x:c r="D42" s="30" t="str">
        <x:v>Brent MoM %</x:v>
      </x:c>
      <x:c r="E42" s="30" t="str">
        <x:v>Monthly percentage change in Brent.</x:v>
      </x:c>
      <x:c r="F42" s="30" t="str">
        <x:v>(Brent_t / Brent_prev_month - 1) * 100</x:v>
      </x:c>
      <x:c r="G42" s="30" t="str">
        <x:v>%</x:v>
      </x:c>
      <x:c r="H42" s="30" t="str">
        <x:v>Daily</x:v>
      </x:c>
      <x:c r="I42" s="30" t="str">
        <x:v>Date; Benchmark</x:v>
      </x:c>
      <x:c r="J42" s="30" t="str">
        <x:v>Date; benchmark; price</x:v>
      </x:c>
      <x:c r="K42" s="30" t="str">
        <x:v>U.S. EIA / reputable market source (to validate)</x:v>
      </x:c>
      <x:c r="L42" s="30" t="str">
        <x:v>gold.oil_market_metrics</x:v>
      </x:c>
      <x:c r="M42" s="30" t="str">
        <x:v>Fuel &amp; Oil Market</x:v>
      </x:c>
      <x:c r="N42" s="30" t="str">
        <x:v>MVP</x:v>
      </x:c>
      <x:c r="O42" s="30" t="str">
        <x:v>Proposed</x:v>
      </x:c>
      <x:c r="P42" s="30" t="str"/>
    </x:row>
    <x:row r="43">
      <x:c r="A43" s="30" t="str">
        <x:v>OIL-007</x:v>
      </x:c>
      <x:c r="B43" s="30" t="str">
        <x:v>International Oil</x:v>
      </x:c>
      <x:c r="C43" s="30" t="str">
        <x:v>How are international oil prices evolving?</x:v>
      </x:c>
      <x:c r="D43" s="30" t="str">
        <x:v>WTI 30-Day Moving Average</x:v>
      </x:c>
      <x:c r="E43" s="30" t="str">
        <x:v>Rolling average of WTI prices.</x:v>
      </x:c>
      <x:c r="F43" s="30" t="str">
        <x:v>AVG(WTI) trailing 30-day window</x:v>
      </x:c>
      <x:c r="G43" s="30" t="str">
        <x:v>USD/barrel</x:v>
      </x:c>
      <x:c r="H43" s="30" t="str">
        <x:v>Daily</x:v>
      </x:c>
      <x:c r="I43" s="30" t="str">
        <x:v>Date; Benchmark</x:v>
      </x:c>
      <x:c r="J43" s="30" t="str">
        <x:v>Date; benchmark; price</x:v>
      </x:c>
      <x:c r="K43" s="30" t="str">
        <x:v>U.S. EIA / reputable market source (to validate)</x:v>
      </x:c>
      <x:c r="L43" s="30" t="str">
        <x:v>gold.oil_market_metrics</x:v>
      </x:c>
      <x:c r="M43" s="30" t="str">
        <x:v>Fuel &amp; Oil Market</x:v>
      </x:c>
      <x:c r="N43" s="30" t="str">
        <x:v>MVP</x:v>
      </x:c>
      <x:c r="O43" s="30" t="str">
        <x:v>Proposed</x:v>
      </x:c>
      <x:c r="P43" s="30" t="str"/>
    </x:row>
    <x:row r="44">
      <x:c r="A44" s="30" t="str">
        <x:v>OIL-008</x:v>
      </x:c>
      <x:c r="B44" s="30" t="str">
        <x:v>International Oil</x:v>
      </x:c>
      <x:c r="C44" s="30" t="str">
        <x:v>How are international oil prices evolving?</x:v>
      </x:c>
      <x:c r="D44" s="30" t="str">
        <x:v>Brent 30-Day Moving Average</x:v>
      </x:c>
      <x:c r="E44" s="30" t="str">
        <x:v>Rolling average of Brent prices.</x:v>
      </x:c>
      <x:c r="F44" s="30" t="str">
        <x:v>AVG(Brent) trailing 30-day window</x:v>
      </x:c>
      <x:c r="G44" s="30" t="str">
        <x:v>USD/barrel</x:v>
      </x:c>
      <x:c r="H44" s="30" t="str">
        <x:v>Daily</x:v>
      </x:c>
      <x:c r="I44" s="30" t="str">
        <x:v>Date; Benchmark</x:v>
      </x:c>
      <x:c r="J44" s="30" t="str">
        <x:v>Date; benchmark; price</x:v>
      </x:c>
      <x:c r="K44" s="30" t="str">
        <x:v>U.S. EIA / reputable market source (to validate)</x:v>
      </x:c>
      <x:c r="L44" s="30" t="str">
        <x:v>gold.oil_market_metrics</x:v>
      </x:c>
      <x:c r="M44" s="30" t="str">
        <x:v>Fuel &amp; Oil Market</x:v>
      </x:c>
      <x:c r="N44" s="30" t="str">
        <x:v>MVP</x:v>
      </x:c>
      <x:c r="O44" s="30" t="str">
        <x:v>Proposed</x:v>
      </x:c>
      <x:c r="P44" s="30" t="str"/>
    </x:row>
    <x:row r="45">
      <x:c r="A45" s="30" t="str">
        <x:v>REL-001</x:v>
      </x:c>
      <x:c r="B45" s="30" t="str">
        <x:v>Economic Relationships</x:v>
      </x:c>
      <x:c r="C45" s="30" t="str">
        <x:v>How do international oil prices relate to Dominican fuel prices?</x:v>
      </x:c>
      <x:c r="D45" s="30" t="str">
        <x:v>Oil/Fuel Correlation</x:v>
      </x:c>
      <x:c r="E45" s="30" t="str">
        <x:v>Statistical relationship metric for exploratory analysis; it does not establish causality.</x:v>
      </x:c>
      <x:c r="F45" s="30" t="str">
        <x:v>Correlation between aligned oil returns/prices and fuel returns/prices over a defined analysis window</x:v>
      </x:c>
      <x:c r="G45" s="30" t="str">
        <x:v>Correlation Coefficient</x:v>
      </x:c>
      <x:c r="H45" s="30" t="str">
        <x:v>Analytical Window</x:v>
      </x:c>
      <x:c r="I45" s="30" t="str">
        <x:v>Date; Oil Benchmark; Fuel Type; Lag</x:v>
      </x:c>
      <x:c r="J45" s="30" t="str">
        <x:v>Aligned oil and fuel time series</x:v>
      </x:c>
      <x:c r="K45" s="30" t="str">
        <x:v>Derived from validated oil + fuel sources</x:v>
      </x:c>
      <x:c r="L45" s="30" t="str">
        <x:v>gold.economic_relationship_metrics</x:v>
      </x:c>
      <x:c r="M45" s="30" t="str">
        <x:v>Economic Relationships</x:v>
      </x:c>
      <x:c r="N45" s="30" t="str">
        <x:v>MVP</x:v>
      </x:c>
      <x:c r="O45" s="30" t="str">
        <x:v>Proposed</x:v>
      </x:c>
      <x:c r="P45" s="30" t="str">
        <x:v>Frequency alignment and analysis window must be defined before implementation.</x:v>
      </x:c>
    </x:row>
    <x:row r="46">
      <x:c r="A46" s="30" t="str">
        <x:v>REL-002</x:v>
      </x:c>
      <x:c r="B46" s="30" t="str">
        <x:v>Economic Relationships</x:v>
      </x:c>
      <x:c r="C46" s="30" t="str">
        <x:v>How do international oil prices relate to Dominican fuel prices?</x:v>
      </x:c>
      <x:c r="D46" s="30" t="str">
        <x:v>Oil/Fuel Lag Correlation T+1</x:v>
      </x:c>
      <x:c r="E46" s="30" t="str">
        <x:v>Statistical relationship metric for exploratory analysis; it does not establish causality.</x:v>
      </x:c>
      <x:c r="F46" s="30" t="str">
        <x:v>Correlation after shifting oil series by one defined fuel observation period</x:v>
      </x:c>
      <x:c r="G46" s="30" t="str">
        <x:v>Correlation Coefficient</x:v>
      </x:c>
      <x:c r="H46" s="30" t="str">
        <x:v>Analytical Window</x:v>
      </x:c>
      <x:c r="I46" s="30" t="str">
        <x:v>Date; Oil Benchmark; Fuel Type; Lag</x:v>
      </x:c>
      <x:c r="J46" s="30" t="str">
        <x:v>Aligned oil and fuel time series</x:v>
      </x:c>
      <x:c r="K46" s="30" t="str">
        <x:v>Derived from validated oil + fuel sources</x:v>
      </x:c>
      <x:c r="L46" s="30" t="str">
        <x:v>gold.economic_relationship_metrics</x:v>
      </x:c>
      <x:c r="M46" s="30" t="str">
        <x:v>Economic Relationships</x:v>
      </x:c>
      <x:c r="N46" s="30" t="str">
        <x:v>Phase 2</x:v>
      </x:c>
      <x:c r="O46" s="30" t="str">
        <x:v>Proposed</x:v>
      </x:c>
      <x:c r="P46" s="30" t="str">
        <x:v>Frequency alignment and analysis window must be defined before implementation.</x:v>
      </x:c>
    </x:row>
    <x:row r="47">
      <x:c r="A47" s="30" t="str">
        <x:v>REL-003</x:v>
      </x:c>
      <x:c r="B47" s="30" t="str">
        <x:v>Economic Relationships</x:v>
      </x:c>
      <x:c r="C47" s="30" t="str">
        <x:v>How do international oil prices relate to Dominican fuel prices?</x:v>
      </x:c>
      <x:c r="D47" s="30" t="str">
        <x:v>Oil/Fuel Lag Correlation T+2</x:v>
      </x:c>
      <x:c r="E47" s="30" t="str">
        <x:v>Statistical relationship metric for exploratory analysis; it does not establish causality.</x:v>
      </x:c>
      <x:c r="F47" s="30" t="str">
        <x:v>Correlation after shifting oil series by two defined fuel observation periods</x:v>
      </x:c>
      <x:c r="G47" s="30" t="str">
        <x:v>Correlation Coefficient</x:v>
      </x:c>
      <x:c r="H47" s="30" t="str">
        <x:v>Analytical Window</x:v>
      </x:c>
      <x:c r="I47" s="30" t="str">
        <x:v>Date; Oil Benchmark; Fuel Type; Lag</x:v>
      </x:c>
      <x:c r="J47" s="30" t="str">
        <x:v>Aligned oil and fuel time series</x:v>
      </x:c>
      <x:c r="K47" s="30" t="str">
        <x:v>Derived from validated oil + fuel sources</x:v>
      </x:c>
      <x:c r="L47" s="30" t="str">
        <x:v>gold.economic_relationship_metrics</x:v>
      </x:c>
      <x:c r="M47" s="30" t="str">
        <x:v>Economic Relationships</x:v>
      </x:c>
      <x:c r="N47" s="30" t="str">
        <x:v>Phase 2</x:v>
      </x:c>
      <x:c r="O47" s="30" t="str">
        <x:v>Proposed</x:v>
      </x:c>
      <x:c r="P47" s="30" t="str">
        <x:v>Frequency alignment and analysis window must be defined before implementation.</x:v>
      </x:c>
    </x:row>
    <x:row r="48">
      <x:c r="A48" s="30" t="str">
        <x:v>REL-004</x:v>
      </x:c>
      <x:c r="B48" s="30" t="str">
        <x:v>Economic Relationships</x:v>
      </x:c>
      <x:c r="C48" s="30" t="str">
        <x:v>How do international oil prices relate to Dominican fuel prices?</x:v>
      </x:c>
      <x:c r="D48" s="30" t="str">
        <x:v>Oil/Fuel Lag Correlation T+4</x:v>
      </x:c>
      <x:c r="E48" s="30" t="str">
        <x:v>Statistical relationship metric for exploratory analysis; it does not establish causality.</x:v>
      </x:c>
      <x:c r="F48" s="30" t="str">
        <x:v>Correlation after shifting oil series by four defined fuel observation periods</x:v>
      </x:c>
      <x:c r="G48" s="30" t="str">
        <x:v>Correlation Coefficient</x:v>
      </x:c>
      <x:c r="H48" s="30" t="str">
        <x:v>Analytical Window</x:v>
      </x:c>
      <x:c r="I48" s="30" t="str">
        <x:v>Date; Oil Benchmark; Fuel Type; Lag</x:v>
      </x:c>
      <x:c r="J48" s="30" t="str">
        <x:v>Aligned oil and fuel time series</x:v>
      </x:c>
      <x:c r="K48" s="30" t="str">
        <x:v>Derived from validated oil + fuel sources</x:v>
      </x:c>
      <x:c r="L48" s="30" t="str">
        <x:v>gold.economic_relationship_metrics</x:v>
      </x:c>
      <x:c r="M48" s="30" t="str">
        <x:v>Economic Relationships</x:v>
      </x:c>
      <x:c r="N48" s="30" t="str">
        <x:v>Phase 2</x:v>
      </x:c>
      <x:c r="O48" s="30" t="str">
        <x:v>Proposed</x:v>
      </x:c>
      <x:c r="P48" s="30" t="str">
        <x:v>Frequency alignment and analysis window must be defined before implementation.</x:v>
      </x:c>
    </x:row>
    <x:row r="49">
      <x:c r="A49" s="30" t="str">
        <x:v>CON-001</x:v>
      </x:c>
      <x:c r="B49" s="30" t="str">
        <x:v>Consumer / Basic Basket</x:v>
      </x:c>
      <x:c r="C49" s="30" t="str">
        <x:v>Which products are contributing most to changes in household purchasing costs?</x:v>
      </x:c>
      <x:c r="D49" s="30" t="str">
        <x:v>Average Product Price</x:v>
      </x:c>
      <x:c r="E49" s="30" t="str">
        <x:v>Average observed price for a product within the selected dimensions.</x:v>
      </x:c>
      <x:c r="F49" s="30" t="str">
        <x:v>AVG(price)</x:v>
      </x:c>
      <x:c r="G49" s="30" t="str">
        <x:v>DOP / unit</x:v>
      </x:c>
      <x:c r="H49" s="30" t="str">
        <x:v>Monthly / Source-dependent</x:v>
      </x:c>
      <x:c r="I49" s="30" t="str">
        <x:v>Date; Product; Category; Brand; Presentation; Unit; Store; Municipality; Province; Region</x:v>
      </x:c>
      <x:c r="J49" s="30" t="str">
        <x:v>Product; price; date; location; unit; category</x:v>
      </x:c>
      <x:c r="K49" s="30" t="str">
        <x:v>ProConsumidor / other official source (to validate)</x:v>
      </x:c>
      <x:c r="L49" s="30" t="str">
        <x:v>gold.consumer_price_metrics</x:v>
      </x:c>
      <x:c r="M49" s="30" t="str">
        <x:v>Basic Basket &amp; Consumer Prices</x:v>
      </x:c>
      <x:c r="N49" s="30" t="str">
        <x:v>MVP</x:v>
      </x:c>
      <x:c r="O49" s="30" t="str">
        <x:v>Proposed</x:v>
      </x:c>
      <x:c r="P49" s="30" t="str"/>
    </x:row>
    <x:row r="50">
      <x:c r="A50" s="30" t="str">
        <x:v>CON-002</x:v>
      </x:c>
      <x:c r="B50" s="30" t="str">
        <x:v>Consumer / Basic Basket</x:v>
      </x:c>
      <x:c r="C50" s="30" t="str">
        <x:v>Which products are contributing most to changes in household purchasing costs?</x:v>
      </x:c>
      <x:c r="D50" s="30" t="str">
        <x:v>Median Product Price</x:v>
      </x:c>
      <x:c r="E50" s="30" t="str">
        <x:v>Median observed product price.</x:v>
      </x:c>
      <x:c r="F50" s="30" t="str">
        <x:v>MEDIAN(price)</x:v>
      </x:c>
      <x:c r="G50" s="30" t="str">
        <x:v>DOP / unit</x:v>
      </x:c>
      <x:c r="H50" s="30" t="str">
        <x:v>Monthly / Source-dependent</x:v>
      </x:c>
      <x:c r="I50" s="30" t="str">
        <x:v>Date; Product; Category; Brand; Presentation; Unit; Store; Municipality; Province; Region</x:v>
      </x:c>
      <x:c r="J50" s="30" t="str">
        <x:v>Product; price; date; location; unit; category</x:v>
      </x:c>
      <x:c r="K50" s="30" t="str">
        <x:v>ProConsumidor / other official source (to validate)</x:v>
      </x:c>
      <x:c r="L50" s="30" t="str">
        <x:v>gold.consumer_price_metrics</x:v>
      </x:c>
      <x:c r="M50" s="30" t="str">
        <x:v>Basic Basket &amp; Consumer Prices</x:v>
      </x:c>
      <x:c r="N50" s="30" t="str">
        <x:v>MVP</x:v>
      </x:c>
      <x:c r="O50" s="30" t="str">
        <x:v>Proposed</x:v>
      </x:c>
      <x:c r="P50" s="30" t="str"/>
    </x:row>
    <x:row r="51">
      <x:c r="A51" s="30" t="str">
        <x:v>CON-003</x:v>
      </x:c>
      <x:c r="B51" s="30" t="str">
        <x:v>Consumer / Basic Basket</x:v>
      </x:c>
      <x:c r="C51" s="30" t="str">
        <x:v>Which products are contributing most to changes in household purchasing costs?</x:v>
      </x:c>
      <x:c r="D51" s="30" t="str">
        <x:v>Minimum Product Price</x:v>
      </x:c>
      <x:c r="E51" s="30" t="str">
        <x:v>Minimum observed product price.</x:v>
      </x:c>
      <x:c r="F51" s="30" t="str">
        <x:v>MIN(price)</x:v>
      </x:c>
      <x:c r="G51" s="30" t="str">
        <x:v>DOP / unit</x:v>
      </x:c>
      <x:c r="H51" s="30" t="str">
        <x:v>Monthly / Source-dependent</x:v>
      </x:c>
      <x:c r="I51" s="30" t="str">
        <x:v>Date; Product; Category; Brand; Presentation; Unit; Store; Municipality; Province; Region</x:v>
      </x:c>
      <x:c r="J51" s="30" t="str">
        <x:v>Product; price; date; location; unit; category</x:v>
      </x:c>
      <x:c r="K51" s="30" t="str">
        <x:v>ProConsumidor / other official source (to validate)</x:v>
      </x:c>
      <x:c r="L51" s="30" t="str">
        <x:v>gold.consumer_price_metrics</x:v>
      </x:c>
      <x:c r="M51" s="30" t="str">
        <x:v>Basic Basket &amp; Consumer Prices</x:v>
      </x:c>
      <x:c r="N51" s="30" t="str">
        <x:v>MVP</x:v>
      </x:c>
      <x:c r="O51" s="30" t="str">
        <x:v>Proposed</x:v>
      </x:c>
      <x:c r="P51" s="30" t="str"/>
    </x:row>
    <x:row r="52">
      <x:c r="A52" s="30" t="str">
        <x:v>CON-004</x:v>
      </x:c>
      <x:c r="B52" s="30" t="str">
        <x:v>Consumer / Basic Basket</x:v>
      </x:c>
      <x:c r="C52" s="30" t="str">
        <x:v>Which products are contributing most to changes in household purchasing costs?</x:v>
      </x:c>
      <x:c r="D52" s="30" t="str">
        <x:v>Maximum Product Price</x:v>
      </x:c>
      <x:c r="E52" s="30" t="str">
        <x:v>Maximum observed product price.</x:v>
      </x:c>
      <x:c r="F52" s="30" t="str">
        <x:v>MAX(price)</x:v>
      </x:c>
      <x:c r="G52" s="30" t="str">
        <x:v>DOP / unit</x:v>
      </x:c>
      <x:c r="H52" s="30" t="str">
        <x:v>Monthly / Source-dependent</x:v>
      </x:c>
      <x:c r="I52" s="30" t="str">
        <x:v>Date; Product; Category; Brand; Presentation; Unit; Store; Municipality; Province; Region</x:v>
      </x:c>
      <x:c r="J52" s="30" t="str">
        <x:v>Product; price; date; location; unit; category</x:v>
      </x:c>
      <x:c r="K52" s="30" t="str">
        <x:v>ProConsumidor / other official source (to validate)</x:v>
      </x:c>
      <x:c r="L52" s="30" t="str">
        <x:v>gold.consumer_price_metrics</x:v>
      </x:c>
      <x:c r="M52" s="30" t="str">
        <x:v>Basic Basket &amp; Consumer Prices</x:v>
      </x:c>
      <x:c r="N52" s="30" t="str">
        <x:v>MVP</x:v>
      </x:c>
      <x:c r="O52" s="30" t="str">
        <x:v>Proposed</x:v>
      </x:c>
      <x:c r="P52" s="30" t="str"/>
    </x:row>
    <x:row r="53">
      <x:c r="A53" s="30" t="str">
        <x:v>CON-005</x:v>
      </x:c>
      <x:c r="B53" s="30" t="str">
        <x:v>Consumer / Basic Basket</x:v>
      </x:c>
      <x:c r="C53" s="30" t="str">
        <x:v>Which products are contributing most to changes in household purchasing costs?</x:v>
      </x:c>
      <x:c r="D53" s="30" t="str">
        <x:v>Product MoM %</x:v>
      </x:c>
      <x:c r="E53" s="30" t="str">
        <x:v>Monthly percentage change in comparable product price.</x:v>
      </x:c>
      <x:c r="F53" s="30" t="str">
        <x:v>(Price_t / Price_prev_month - 1) * 100</x:v>
      </x:c>
      <x:c r="G53" s="30" t="str">
        <x:v>%</x:v>
      </x:c>
      <x:c r="H53" s="30" t="str">
        <x:v>Monthly / Source-dependent</x:v>
      </x:c>
      <x:c r="I53" s="30" t="str">
        <x:v>Date; Product; Category; Brand; Presentation; Unit; Store; Municipality; Province; Region</x:v>
      </x:c>
      <x:c r="J53" s="30" t="str">
        <x:v>Product; price; date; location; unit; category</x:v>
      </x:c>
      <x:c r="K53" s="30" t="str">
        <x:v>ProConsumidor / other official source (to validate)</x:v>
      </x:c>
      <x:c r="L53" s="30" t="str">
        <x:v>gold.consumer_price_metrics</x:v>
      </x:c>
      <x:c r="M53" s="30" t="str">
        <x:v>Basic Basket &amp; Consumer Prices</x:v>
      </x:c>
      <x:c r="N53" s="30" t="str">
        <x:v>MVP</x:v>
      </x:c>
      <x:c r="O53" s="30" t="str">
        <x:v>Proposed</x:v>
      </x:c>
      <x:c r="P53" s="30" t="str">
        <x:v>Comparability rules required across brand, presentation and unit.</x:v>
      </x:c>
    </x:row>
    <x:row r="54">
      <x:c r="A54" s="30" t="str">
        <x:v>CON-006</x:v>
      </x:c>
      <x:c r="B54" s="30" t="str">
        <x:v>Consumer / Basic Basket</x:v>
      </x:c>
      <x:c r="C54" s="30" t="str">
        <x:v>Which products are contributing most to changes in household purchasing costs?</x:v>
      </x:c>
      <x:c r="D54" s="30" t="str">
        <x:v>Product YoY %</x:v>
      </x:c>
      <x:c r="E54" s="30" t="str">
        <x:v>Year-over-year percentage change in comparable product price.</x:v>
      </x:c>
      <x:c r="F54" s="30" t="str">
        <x:v>(Price_t / Price_t-1year - 1) * 100</x:v>
      </x:c>
      <x:c r="G54" s="30" t="str">
        <x:v>%</x:v>
      </x:c>
      <x:c r="H54" s="30" t="str">
        <x:v>Monthly / Source-dependent</x:v>
      </x:c>
      <x:c r="I54" s="30" t="str">
        <x:v>Date; Product; Category; Brand; Presentation; Unit; Store; Municipality; Province; Region</x:v>
      </x:c>
      <x:c r="J54" s="30" t="str">
        <x:v>Product; price; date; location; unit; category</x:v>
      </x:c>
      <x:c r="K54" s="30" t="str">
        <x:v>ProConsumidor / other official source (to validate)</x:v>
      </x:c>
      <x:c r="L54" s="30" t="str">
        <x:v>gold.consumer_price_metrics</x:v>
      </x:c>
      <x:c r="M54" s="30" t="str">
        <x:v>Basic Basket &amp; Consumer Prices</x:v>
      </x:c>
      <x:c r="N54" s="30" t="str">
        <x:v>MVP</x:v>
      </x:c>
      <x:c r="O54" s="30" t="str">
        <x:v>Proposed</x:v>
      </x:c>
      <x:c r="P54" s="30" t="str">
        <x:v>Comparability rules required across brand, presentation and unit.</x:v>
      </x:c>
    </x:row>
    <x:row r="55">
      <x:c r="A55" s="30" t="str">
        <x:v>CON-007</x:v>
      </x:c>
      <x:c r="B55" s="30" t="str">
        <x:v>Consumer / Basic Basket</x:v>
      </x:c>
      <x:c r="C55" s="30" t="str">
        <x:v>Which products are contributing most to changes in household purchasing costs?</x:v>
      </x:c>
      <x:c r="D55" s="30" t="str">
        <x:v>Product YTD %</x:v>
      </x:c>
      <x:c r="E55" s="30" t="str">
        <x:v>Percentage change versus prior-year-end comparable price.</x:v>
      </x:c>
      <x:c r="F55" s="30" t="str">
        <x:v>(Price_t / Price_last_prev_year - 1) * 100</x:v>
      </x:c>
      <x:c r="G55" s="30" t="str">
        <x:v>%</x:v>
      </x:c>
      <x:c r="H55" s="30" t="str">
        <x:v>Monthly / Source-dependent</x:v>
      </x:c>
      <x:c r="I55" s="30" t="str">
        <x:v>Date; Product; Category; Brand; Presentation; Unit; Store; Municipality; Province; Region</x:v>
      </x:c>
      <x:c r="J55" s="30" t="str">
        <x:v>Product; price; date; location; unit; category</x:v>
      </x:c>
      <x:c r="K55" s="30" t="str">
        <x:v>ProConsumidor / other official source (to validate)</x:v>
      </x:c>
      <x:c r="L55" s="30" t="str">
        <x:v>gold.consumer_price_metrics</x:v>
      </x:c>
      <x:c r="M55" s="30" t="str">
        <x:v>Basic Basket &amp; Consumer Prices</x:v>
      </x:c>
      <x:c r="N55" s="30" t="str">
        <x:v>MVP</x:v>
      </x:c>
      <x:c r="O55" s="30" t="str">
        <x:v>Proposed</x:v>
      </x:c>
      <x:c r="P55" s="30" t="str">
        <x:v>Comparability rules required across brand, presentation and unit.</x:v>
      </x:c>
    </x:row>
    <x:row r="56">
      <x:c r="A56" s="30" t="str">
        <x:v>CON-008</x:v>
      </x:c>
      <x:c r="B56" s="30" t="str">
        <x:v>Consumer / Basic Basket</x:v>
      </x:c>
      <x:c r="C56" s="30" t="str">
        <x:v>Which products are contributing most to changes in household purchasing costs?</x:v>
      </x:c>
      <x:c r="D56" s="30" t="str">
        <x:v>Product Price Volatility</x:v>
      </x:c>
      <x:c r="E56" s="30" t="str">
        <x:v>Dispersion of periodic product-price changes.</x:v>
      </x:c>
      <x:c r="F56" s="30" t="str">
        <x:v>STDDEV(periodic returns) over defined window</x:v>
      </x:c>
      <x:c r="G56" s="30" t="str">
        <x:v>%</x:v>
      </x:c>
      <x:c r="H56" s="30" t="str">
        <x:v>Monthly / Source-dependent</x:v>
      </x:c>
      <x:c r="I56" s="30" t="str">
        <x:v>Date; Product; Category; Brand; Presentation; Unit; Store; Municipality; Province; Region</x:v>
      </x:c>
      <x:c r="J56" s="30" t="str">
        <x:v>Product; price; date; location; unit; category</x:v>
      </x:c>
      <x:c r="K56" s="30" t="str">
        <x:v>ProConsumidor / other official source (to validate)</x:v>
      </x:c>
      <x:c r="L56" s="30" t="str">
        <x:v>gold.consumer_price_metrics</x:v>
      </x:c>
      <x:c r="M56" s="30" t="str">
        <x:v>Basic Basket &amp; Consumer Prices</x:v>
      </x:c>
      <x:c r="N56" s="30" t="str">
        <x:v>MVP</x:v>
      </x:c>
      <x:c r="O56" s="30" t="str">
        <x:v>Proposed</x:v>
      </x:c>
      <x:c r="P56" s="30" t="str"/>
    </x:row>
    <x:row r="57">
      <x:c r="A57" s="30" t="str">
        <x:v>CON-009</x:v>
      </x:c>
      <x:c r="B57" s="30" t="str">
        <x:v>Consumer / Basic Basket</x:v>
      </x:c>
      <x:c r="C57" s="30" t="str">
        <x:v>Which products are contributing most to changes in household purchasing costs?</x:v>
      </x:c>
      <x:c r="D57" s="30" t="str">
        <x:v>Regional Price Difference %</x:v>
      </x:c>
      <x:c r="E57" s="30" t="str">
        <x:v>Relative difference in comparable product prices across geographic areas.</x:v>
      </x:c>
      <x:c r="F57" s="30" t="str">
        <x:v>(Regional Price / Reference Price - 1) * 100</x:v>
      </x:c>
      <x:c r="G57" s="30" t="str">
        <x:v>%</x:v>
      </x:c>
      <x:c r="H57" s="30" t="str">
        <x:v>Monthly / Source-dependent</x:v>
      </x:c>
      <x:c r="I57" s="30" t="str">
        <x:v>Date; Product; Category; Brand; Presentation; Unit; Store; Municipality; Province; Region</x:v>
      </x:c>
      <x:c r="J57" s="30" t="str">
        <x:v>Product; price; date; location; unit; category</x:v>
      </x:c>
      <x:c r="K57" s="30" t="str">
        <x:v>ProConsumidor / other official source (to validate)</x:v>
      </x:c>
      <x:c r="L57" s="30" t="str">
        <x:v>gold.consumer_price_metrics</x:v>
      </x:c>
      <x:c r="M57" s="30" t="str">
        <x:v>Basic Basket &amp; Consumer Prices</x:v>
      </x:c>
      <x:c r="N57" s="30" t="str">
        <x:v>MVP</x:v>
      </x:c>
      <x:c r="O57" s="30" t="str">
        <x:v>Proposed</x:v>
      </x:c>
      <x:c r="P57" s="30" t="str">
        <x:v>Comparability rules required across brand, presentation and unit.</x:v>
      </x:c>
    </x:row>
    <x:row r="58">
      <x:c r="A58" s="30" t="str">
        <x:v>CON-010</x:v>
      </x:c>
      <x:c r="B58" s="30" t="str">
        <x:v>Consumer / Basic Basket</x:v>
      </x:c>
      <x:c r="C58" s="30" t="str">
        <x:v>Which products are contributing most to changes in household purchasing costs?</x:v>
      </x:c>
      <x:c r="D58" s="30" t="str">
        <x:v>Category Price Index</x:v>
      </x:c>
      <x:c r="E58" s="30" t="str">
        <x:v>Analytical index summarizing price movement for a product category.</x:v>
      </x:c>
      <x:c r="F58" s="30" t="str">
        <x:v>Index methodology to be defined after source/granularity assessment</x:v>
      </x:c>
      <x:c r="G58" s="30" t="str">
        <x:v>Index</x:v>
      </x:c>
      <x:c r="H58" s="30" t="str">
        <x:v>Monthly / Source-dependent</x:v>
      </x:c>
      <x:c r="I58" s="30" t="str">
        <x:v>Date; Product; Category; Brand; Presentation; Unit; Store; Municipality; Province; Region</x:v>
      </x:c>
      <x:c r="J58" s="30" t="str">
        <x:v>Product; price; date; location; unit; category</x:v>
      </x:c>
      <x:c r="K58" s="30" t="str">
        <x:v>ProConsumidor / other official source (to validate)</x:v>
      </x:c>
      <x:c r="L58" s="30" t="str">
        <x:v>gold.consumer_price_metrics</x:v>
      </x:c>
      <x:c r="M58" s="30" t="str">
        <x:v>Basic Basket &amp; Consumer Prices</x:v>
      </x:c>
      <x:c r="N58" s="30" t="str">
        <x:v>MVP</x:v>
      </x:c>
      <x:c r="O58" s="30" t="str">
        <x:v>Proposed</x:v>
      </x:c>
      <x:c r="P58" s="30" t="str">
        <x:v>Comparability rules required across brand, presentation and unit.</x:v>
      </x:c>
    </x:row>
    <x:row r="59">
      <x:c r="A59" s="30" t="str">
        <x:v>AGR-001</x:v>
      </x:c>
      <x:c r="B59" s="30" t="str">
        <x:v>Agricultural Prices</x:v>
      </x:c>
      <x:c r="C59" s="30" t="str">
        <x:v>Which agricultural products have experienced the greatest price changes, volatility, or seasonality?</x:v>
      </x:c>
      <x:c r="D59" s="30" t="str">
        <x:v>Average Agricultural Price</x:v>
      </x:c>
      <x:c r="E59" s="30" t="str">
        <x:v>Average observed price for an agricultural product.</x:v>
      </x:c>
      <x:c r="F59" s="30" t="str">
        <x:v>AVG(price)</x:v>
      </x:c>
      <x:c r="G59" s="30" t="str">
        <x:v>DOP / unit</x:v>
      </x:c>
      <x:c r="H59" s="30" t="str">
        <x:v>Weekly / Monthly / Source-dependent</x:v>
      </x:c>
      <x:c r="I59" s="30" t="str">
        <x:v>Date; Product; Unit; Market; Municipality; Province; Region</x:v>
      </x:c>
      <x:c r="J59" s="30" t="str">
        <x:v>Product; price; date; location; unit</x:v>
      </x:c>
      <x:c r="K59" s="30" t="str">
        <x:v>Ministry of Agriculture / public data source (to validate)</x:v>
      </x:c>
      <x:c r="L59" s="30" t="str">
        <x:v>gold.agricultural_price_metrics</x:v>
      </x:c>
      <x:c r="M59" s="30" t="str">
        <x:v>Agricultural Prices</x:v>
      </x:c>
      <x:c r="N59" s="30" t="str">
        <x:v>MVP</x:v>
      </x:c>
      <x:c r="O59" s="30" t="str">
        <x:v>Proposed</x:v>
      </x:c>
      <x:c r="P59" s="30" t="str"/>
    </x:row>
    <x:row r="60">
      <x:c r="A60" s="30" t="str">
        <x:v>AGR-002</x:v>
      </x:c>
      <x:c r="B60" s="30" t="str">
        <x:v>Agricultural Prices</x:v>
      </x:c>
      <x:c r="C60" s="30" t="str">
        <x:v>Which agricultural products have experienced the greatest price changes, volatility, or seasonality?</x:v>
      </x:c>
      <x:c r="D60" s="30" t="str">
        <x:v>MoM Price Change %</x:v>
      </x:c>
      <x:c r="E60" s="30" t="str">
        <x:v>Monthly percentage change in comparable agricultural price.</x:v>
      </x:c>
      <x:c r="F60" s="30" t="str">
        <x:v>(Price_t / Price_prev_month - 1) * 100</x:v>
      </x:c>
      <x:c r="G60" s="30" t="str">
        <x:v>%</x:v>
      </x:c>
      <x:c r="H60" s="30" t="str">
        <x:v>Weekly / Monthly / Source-dependent</x:v>
      </x:c>
      <x:c r="I60" s="30" t="str">
        <x:v>Date; Product; Unit; Market; Municipality; Province; Region</x:v>
      </x:c>
      <x:c r="J60" s="30" t="str">
        <x:v>Product; price; date; location; unit</x:v>
      </x:c>
      <x:c r="K60" s="30" t="str">
        <x:v>Ministry of Agriculture / public data source (to validate)</x:v>
      </x:c>
      <x:c r="L60" s="30" t="str">
        <x:v>gold.agricultural_price_metrics</x:v>
      </x:c>
      <x:c r="M60" s="30" t="str">
        <x:v>Agricultural Prices</x:v>
      </x:c>
      <x:c r="N60" s="30" t="str">
        <x:v>MVP</x:v>
      </x:c>
      <x:c r="O60" s="30" t="str">
        <x:v>Proposed</x:v>
      </x:c>
      <x:c r="P60" s="30" t="str">
        <x:v>Requires unit and market-level comparability validation.</x:v>
      </x:c>
    </x:row>
    <x:row r="61">
      <x:c r="A61" s="30" t="str">
        <x:v>AGR-003</x:v>
      </x:c>
      <x:c r="B61" s="30" t="str">
        <x:v>Agricultural Prices</x:v>
      </x:c>
      <x:c r="C61" s="30" t="str">
        <x:v>Which agricultural products have experienced the greatest price changes, volatility, or seasonality?</x:v>
      </x:c>
      <x:c r="D61" s="30" t="str">
        <x:v>YoY Price Change %</x:v>
      </x:c>
      <x:c r="E61" s="30" t="str">
        <x:v>Year-over-year percentage change in comparable agricultural price.</x:v>
      </x:c>
      <x:c r="F61" s="30" t="str">
        <x:v>(Price_t / Price_t-1year - 1) * 100</x:v>
      </x:c>
      <x:c r="G61" s="30" t="str">
        <x:v>%</x:v>
      </x:c>
      <x:c r="H61" s="30" t="str">
        <x:v>Weekly / Monthly / Source-dependent</x:v>
      </x:c>
      <x:c r="I61" s="30" t="str">
        <x:v>Date; Product; Unit; Market; Municipality; Province; Region</x:v>
      </x:c>
      <x:c r="J61" s="30" t="str">
        <x:v>Product; price; date; location; unit</x:v>
      </x:c>
      <x:c r="K61" s="30" t="str">
        <x:v>Ministry of Agriculture / public data source (to validate)</x:v>
      </x:c>
      <x:c r="L61" s="30" t="str">
        <x:v>gold.agricultural_price_metrics</x:v>
      </x:c>
      <x:c r="M61" s="30" t="str">
        <x:v>Agricultural Prices</x:v>
      </x:c>
      <x:c r="N61" s="30" t="str">
        <x:v>MVP</x:v>
      </x:c>
      <x:c r="O61" s="30" t="str">
        <x:v>Proposed</x:v>
      </x:c>
      <x:c r="P61" s="30" t="str">
        <x:v>Requires unit and market-level comparability validation.</x:v>
      </x:c>
    </x:row>
    <x:row r="62">
      <x:c r="A62" s="30" t="str">
        <x:v>AGR-004</x:v>
      </x:c>
      <x:c r="B62" s="30" t="str">
        <x:v>Agricultural Prices</x:v>
      </x:c>
      <x:c r="C62" s="30" t="str">
        <x:v>Which agricultural products have experienced the greatest price changes, volatility, or seasonality?</x:v>
      </x:c>
      <x:c r="D62" s="30" t="str">
        <x:v>YTD Price Change %</x:v>
      </x:c>
      <x:c r="E62" s="30" t="str">
        <x:v>Percentage change versus prior-year-end comparable price.</x:v>
      </x:c>
      <x:c r="F62" s="30" t="str">
        <x:v>(Price_t / Price_last_prev_year - 1) * 100</x:v>
      </x:c>
      <x:c r="G62" s="30" t="str">
        <x:v>%</x:v>
      </x:c>
      <x:c r="H62" s="30" t="str">
        <x:v>Weekly / Monthly / Source-dependent</x:v>
      </x:c>
      <x:c r="I62" s="30" t="str">
        <x:v>Date; Product; Unit; Market; Municipality; Province; Region</x:v>
      </x:c>
      <x:c r="J62" s="30" t="str">
        <x:v>Product; price; date; location; unit</x:v>
      </x:c>
      <x:c r="K62" s="30" t="str">
        <x:v>Ministry of Agriculture / public data source (to validate)</x:v>
      </x:c>
      <x:c r="L62" s="30" t="str">
        <x:v>gold.agricultural_price_metrics</x:v>
      </x:c>
      <x:c r="M62" s="30" t="str">
        <x:v>Agricultural Prices</x:v>
      </x:c>
      <x:c r="N62" s="30" t="str">
        <x:v>MVP</x:v>
      </x:c>
      <x:c r="O62" s="30" t="str">
        <x:v>Proposed</x:v>
      </x:c>
      <x:c r="P62" s="30" t="str">
        <x:v>Requires unit and market-level comparability validation.</x:v>
      </x:c>
    </x:row>
    <x:row r="63">
      <x:c r="A63" s="30" t="str">
        <x:v>AGR-005</x:v>
      </x:c>
      <x:c r="B63" s="30" t="str">
        <x:v>Agricultural Prices</x:v>
      </x:c>
      <x:c r="C63" s="30" t="str">
        <x:v>Which agricultural products have experienced the greatest price changes, volatility, or seasonality?</x:v>
      </x:c>
      <x:c r="D63" s="30" t="str">
        <x:v>Price Volatility</x:v>
      </x:c>
      <x:c r="E63" s="30" t="str">
        <x:v>Dispersion of periodic agricultural-price changes.</x:v>
      </x:c>
      <x:c r="F63" s="30" t="str">
        <x:v>STDDEV(periodic returns) over defined window</x:v>
      </x:c>
      <x:c r="G63" s="30" t="str">
        <x:v>%</x:v>
      </x:c>
      <x:c r="H63" s="30" t="str">
        <x:v>Weekly / Monthly / Source-dependent</x:v>
      </x:c>
      <x:c r="I63" s="30" t="str">
        <x:v>Date; Product; Unit; Market; Municipality; Province; Region</x:v>
      </x:c>
      <x:c r="J63" s="30" t="str">
        <x:v>Product; price; date; location; unit</x:v>
      </x:c>
      <x:c r="K63" s="30" t="str">
        <x:v>Ministry of Agriculture / public data source (to validate)</x:v>
      </x:c>
      <x:c r="L63" s="30" t="str">
        <x:v>gold.agricultural_price_metrics</x:v>
      </x:c>
      <x:c r="M63" s="30" t="str">
        <x:v>Agricultural Prices</x:v>
      </x:c>
      <x:c r="N63" s="30" t="str">
        <x:v>MVP</x:v>
      </x:c>
      <x:c r="O63" s="30" t="str">
        <x:v>Proposed</x:v>
      </x:c>
      <x:c r="P63" s="30" t="str">
        <x:v>Requires unit and market-level comparability validation.</x:v>
      </x:c>
    </x:row>
    <x:row r="64">
      <x:c r="A64" s="30" t="str">
        <x:v>AGR-006</x:v>
      </x:c>
      <x:c r="B64" s="30" t="str">
        <x:v>Agricultural Prices</x:v>
      </x:c>
      <x:c r="C64" s="30" t="str">
        <x:v>Which agricultural products have experienced the greatest price changes, volatility, or seasonality?</x:v>
      </x:c>
      <x:c r="D64" s="30" t="str">
        <x:v>Seasonal Price Index</x:v>
      </x:c>
      <x:c r="E64" s="30" t="str">
        <x:v>Index measuring recurring seasonal price patterns.</x:v>
      </x:c>
      <x:c r="F64" s="30" t="str">
        <x:v>Seasonal methodology to be defined after data-history assessment</x:v>
      </x:c>
      <x:c r="G64" s="30" t="str">
        <x:v>Index</x:v>
      </x:c>
      <x:c r="H64" s="30" t="str">
        <x:v>Weekly / Monthly / Source-dependent</x:v>
      </x:c>
      <x:c r="I64" s="30" t="str">
        <x:v>Date; Product; Unit; Market; Municipality; Province; Region</x:v>
      </x:c>
      <x:c r="J64" s="30" t="str">
        <x:v>Product; price; date; location; unit</x:v>
      </x:c>
      <x:c r="K64" s="30" t="str">
        <x:v>Ministry of Agriculture / public data source (to validate)</x:v>
      </x:c>
      <x:c r="L64" s="30" t="str">
        <x:v>gold.agricultural_price_metrics</x:v>
      </x:c>
      <x:c r="M64" s="30" t="str">
        <x:v>Agricultural Prices</x:v>
      </x:c>
      <x:c r="N64" s="30" t="str">
        <x:v>MVP</x:v>
      </x:c>
      <x:c r="O64" s="30" t="str">
        <x:v>Proposed</x:v>
      </x:c>
      <x:c r="P64" s="30" t="str">
        <x:v>Requires unit and market-level comparability validation.</x:v>
      </x:c>
    </x:row>
    <x:row r="65">
      <x:c r="A65" s="30" t="str">
        <x:v>AGR-007</x:v>
      </x:c>
      <x:c r="B65" s="30" t="str">
        <x:v>Agricultural Prices</x:v>
      </x:c>
      <x:c r="C65" s="30" t="str">
        <x:v>Which agricultural products have experienced the greatest price changes, volatility, or seasonality?</x:v>
      </x:c>
      <x:c r="D65" s="30" t="str">
        <x:v>Regional Price Difference %</x:v>
      </x:c>
      <x:c r="E65" s="30" t="str">
        <x:v>Relative price difference across geographic areas.</x:v>
      </x:c>
      <x:c r="F65" s="30" t="str">
        <x:v>(Regional Price / Reference Price - 1) * 100</x:v>
      </x:c>
      <x:c r="G65" s="30" t="str">
        <x:v>%</x:v>
      </x:c>
      <x:c r="H65" s="30" t="str">
        <x:v>Weekly / Monthly / Source-dependent</x:v>
      </x:c>
      <x:c r="I65" s="30" t="str">
        <x:v>Date; Product; Unit; Market; Municipality; Province; Region</x:v>
      </x:c>
      <x:c r="J65" s="30" t="str">
        <x:v>Product; price; date; location; unit</x:v>
      </x:c>
      <x:c r="K65" s="30" t="str">
        <x:v>Ministry of Agriculture / public data source (to validate)</x:v>
      </x:c>
      <x:c r="L65" s="30" t="str">
        <x:v>gold.agricultural_price_metrics</x:v>
      </x:c>
      <x:c r="M65" s="30" t="str">
        <x:v>Agricultural Prices</x:v>
      </x:c>
      <x:c r="N65" s="30" t="str">
        <x:v>MVP</x:v>
      </x:c>
      <x:c r="O65" s="30" t="str">
        <x:v>Proposed</x:v>
      </x:c>
      <x:c r="P65" s="30" t="str">
        <x:v>Requires unit and market-level comparability validation.</x:v>
      </x:c>
    </x:row>
    <x:row r="66">
      <x:c r="A66" s="30" t="str">
        <x:v>ENE-001</x:v>
      </x:c>
      <x:c r="B66" s="30" t="str">
        <x:v>Energy / Electricity</x:v>
      </x:c>
      <x:c r="C66" s="30" t="str">
        <x:v>How are electricity and energy costs evolving?</x:v>
      </x:c>
      <x:c r="D66" s="30" t="str">
        <x:v>Electricity Tariff</x:v>
      </x:c>
      <x:c r="E66" s="30" t="str">
        <x:v>Published tariff applicable to the selected customer/tariff category.</x:v>
      </x:c>
      <x:c r="F66" s="30" t="str">
        <x:v>Published tariff</x:v>
      </x:c>
      <x:c r="G66" s="30" t="str">
        <x:v>DOP/kWh or source unit</x:v>
      </x:c>
      <x:c r="H66" s="30" t="str">
        <x:v>Monthly / Source-dependent</x:v>
      </x:c>
      <x:c r="I66" s="30" t="str">
        <x:v>Date; Tariff Category; Distributor/Region (if available)</x:v>
      </x:c>
      <x:c r="J66" s="30" t="str">
        <x:v>Tariff; category; date; unit</x:v>
      </x:c>
      <x:c r="K66" s="30" t="str">
        <x:v>SIE / EDEs / official source (to validate)</x:v>
      </x:c>
      <x:c r="L66" s="30" t="str">
        <x:v>gold.energy_price_metrics</x:v>
      </x:c>
      <x:c r="M66" s="30" t="str">
        <x:v>Energy &amp; Electricity</x:v>
      </x:c>
      <x:c r="N66" s="30" t="str">
        <x:v>Phase 2</x:v>
      </x:c>
      <x:c r="O66" s="30" t="str">
        <x:v>Pending Source Validation</x:v>
      </x:c>
      <x:c r="P66" s="30" t="str">
        <x:v>Scope depends on historical source availability and tariff comparability.</x:v>
      </x:c>
    </x:row>
    <x:row r="67">
      <x:c r="A67" s="30" t="str">
        <x:v>ENE-002</x:v>
      </x:c>
      <x:c r="B67" s="30" t="str">
        <x:v>Energy / Electricity</x:v>
      </x:c>
      <x:c r="C67" s="30" t="str">
        <x:v>How are electricity and energy costs evolving?</x:v>
      </x:c>
      <x:c r="D67" s="30" t="str">
        <x:v>MoM Tariff Change %</x:v>
      </x:c>
      <x:c r="E67" s="30" t="str">
        <x:v>Monthly percentage change in comparable tariff.</x:v>
      </x:c>
      <x:c r="F67" s="30" t="str">
        <x:v>(Tariff_t / Tariff_prev_month - 1) * 100</x:v>
      </x:c>
      <x:c r="G67" s="30" t="str">
        <x:v>%</x:v>
      </x:c>
      <x:c r="H67" s="30" t="str">
        <x:v>Monthly / Source-dependent</x:v>
      </x:c>
      <x:c r="I67" s="30" t="str">
        <x:v>Date; Tariff Category; Distributor/Region (if available)</x:v>
      </x:c>
      <x:c r="J67" s="30" t="str">
        <x:v>Tariff; category; date; unit</x:v>
      </x:c>
      <x:c r="K67" s="30" t="str">
        <x:v>SIE / EDEs / official source (to validate)</x:v>
      </x:c>
      <x:c r="L67" s="30" t="str">
        <x:v>gold.energy_price_metrics</x:v>
      </x:c>
      <x:c r="M67" s="30" t="str">
        <x:v>Energy &amp; Electricity</x:v>
      </x:c>
      <x:c r="N67" s="30" t="str">
        <x:v>Phase 2</x:v>
      </x:c>
      <x:c r="O67" s="30" t="str">
        <x:v>Pending Source Validation</x:v>
      </x:c>
      <x:c r="P67" s="30" t="str">
        <x:v>Scope depends on historical source availability and tariff comparability.</x:v>
      </x:c>
    </x:row>
    <x:row r="68">
      <x:c r="A68" s="30" t="str">
        <x:v>ENE-003</x:v>
      </x:c>
      <x:c r="B68" s="30" t="str">
        <x:v>Energy / Electricity</x:v>
      </x:c>
      <x:c r="C68" s="30" t="str">
        <x:v>How are electricity and energy costs evolving?</x:v>
      </x:c>
      <x:c r="D68" s="30" t="str">
        <x:v>YoY Tariff Change %</x:v>
      </x:c>
      <x:c r="E68" s="30" t="str">
        <x:v>Year-over-year percentage change in comparable tariff.</x:v>
      </x:c>
      <x:c r="F68" s="30" t="str">
        <x:v>(Tariff_t / Tariff_t-1year - 1) * 100</x:v>
      </x:c>
      <x:c r="G68" s="30" t="str">
        <x:v>%</x:v>
      </x:c>
      <x:c r="H68" s="30" t="str">
        <x:v>Monthly / Source-dependent</x:v>
      </x:c>
      <x:c r="I68" s="30" t="str">
        <x:v>Date; Tariff Category; Distributor/Region (if available)</x:v>
      </x:c>
      <x:c r="J68" s="30" t="str">
        <x:v>Tariff; category; date; unit</x:v>
      </x:c>
      <x:c r="K68" s="30" t="str">
        <x:v>SIE / EDEs / official source (to validate)</x:v>
      </x:c>
      <x:c r="L68" s="30" t="str">
        <x:v>gold.energy_price_metrics</x:v>
      </x:c>
      <x:c r="M68" s="30" t="str">
        <x:v>Energy &amp; Electricity</x:v>
      </x:c>
      <x:c r="N68" s="30" t="str">
        <x:v>Phase 2</x:v>
      </x:c>
      <x:c r="O68" s="30" t="str">
        <x:v>Pending Source Validation</x:v>
      </x:c>
      <x:c r="P68" s="30" t="str">
        <x:v>Scope depends on historical source availability and tariff comparability.</x:v>
      </x:c>
    </x:row>
    <x:row r="69">
      <x:c r="A69" s="30" t="str">
        <x:v>ENE-004</x:v>
      </x:c>
      <x:c r="B69" s="30" t="str">
        <x:v>Energy / Electricity</x:v>
      </x:c>
      <x:c r="C69" s="30" t="str">
        <x:v>How are electricity and energy costs evolving?</x:v>
      </x:c>
      <x:c r="D69" s="30" t="str">
        <x:v>YTD Tariff Change %</x:v>
      </x:c>
      <x:c r="E69" s="30" t="str">
        <x:v>Percentage change versus prior-year-end tariff.</x:v>
      </x:c>
      <x:c r="F69" s="30" t="str">
        <x:v>(Tariff_t / Tariff_last_prev_year - 1) * 100</x:v>
      </x:c>
      <x:c r="G69" s="30" t="str">
        <x:v>%</x:v>
      </x:c>
      <x:c r="H69" s="30" t="str">
        <x:v>Monthly / Source-dependent</x:v>
      </x:c>
      <x:c r="I69" s="30" t="str">
        <x:v>Date; Tariff Category; Distributor/Region (if available)</x:v>
      </x:c>
      <x:c r="J69" s="30" t="str">
        <x:v>Tariff; category; date; unit</x:v>
      </x:c>
      <x:c r="K69" s="30" t="str">
        <x:v>SIE / EDEs / official source (to validate)</x:v>
      </x:c>
      <x:c r="L69" s="30" t="str">
        <x:v>gold.energy_price_metrics</x:v>
      </x:c>
      <x:c r="M69" s="30" t="str">
        <x:v>Energy &amp; Electricity</x:v>
      </x:c>
      <x:c r="N69" s="30" t="str">
        <x:v>Phase 2</x:v>
      </x:c>
      <x:c r="O69" s="30" t="str">
        <x:v>Pending Source Validation</x:v>
      </x:c>
      <x:c r="P69" s="30" t="str">
        <x:v>Scope depends on historical source availability and tariff comparability.</x:v>
      </x:c>
    </x:row>
    <x:row r="70">
      <x:c r="A70" s="30" t="str">
        <x:v>ENE-005</x:v>
      </x:c>
      <x:c r="B70" s="30" t="str">
        <x:v>Energy / Electricity</x:v>
      </x:c>
      <x:c r="C70" s="30" t="str">
        <x:v>How are electricity and energy costs evolving?</x:v>
      </x:c>
      <x:c r="D70" s="30" t="str">
        <x:v>Average Cost per kWh</x:v>
      </x:c>
      <x:c r="E70" s="30" t="str">
        <x:v>Average comparable electricity cost per kWh for selected category.</x:v>
      </x:c>
      <x:c r="F70" s="30" t="str">
        <x:v>AVG(cost_per_kWh) where concept is comparable</x:v>
      </x:c>
      <x:c r="G70" s="30" t="str">
        <x:v>DOP/kWh</x:v>
      </x:c>
      <x:c r="H70" s="30" t="str">
        <x:v>Monthly / Source-dependent</x:v>
      </x:c>
      <x:c r="I70" s="30" t="str">
        <x:v>Date; Tariff Category; Distributor/Region (if available)</x:v>
      </x:c>
      <x:c r="J70" s="30" t="str">
        <x:v>Tariff; category; date; unit</x:v>
      </x:c>
      <x:c r="K70" s="30" t="str">
        <x:v>SIE / EDEs / official source (to validate)</x:v>
      </x:c>
      <x:c r="L70" s="30" t="str">
        <x:v>gold.energy_price_metrics</x:v>
      </x:c>
      <x:c r="M70" s="30" t="str">
        <x:v>Energy &amp; Electricity</x:v>
      </x:c>
      <x:c r="N70" s="30" t="str">
        <x:v>Phase 2</x:v>
      </x:c>
      <x:c r="O70" s="30" t="str">
        <x:v>Pending Source Validation</x:v>
      </x:c>
      <x:c r="P70" s="30" t="str">
        <x:v>Scope depends on historical source availability and tariff comparability.</x:v>
      </x:c>
    </x:row>
    <x:row r="71">
      <x:c r="A71" s="30" t="str">
        <x:v>HOU-001</x:v>
      </x:c>
      <x:c r="B71" s="30" t="str">
        <x:v>Housing / Rentals</x:v>
      </x:c>
      <x:c r="C71" s="30" t="str">
        <x:v>How are rental prices and housing costs evolving?</x:v>
      </x:c>
      <x:c r="D71" s="30" t="str">
        <x:v>Median Rental Asking Price</x:v>
      </x:c>
      <x:c r="E71" s="30" t="str">
        <x:v>Median observed asking rent for comparable properties within a geography/property segment.</x:v>
      </x:c>
      <x:c r="F71" s="30" t="str">
        <x:v>MEDIAN(asking_rent)</x:v>
      </x:c>
      <x:c r="G71" s="30" t="str">
        <x:v>DOP/month</x:v>
      </x:c>
      <x:c r="H71" s="30" t="str">
        <x:v>Monthly / Source-dependent</x:v>
      </x:c>
      <x:c r="I71" s="30" t="str">
        <x:v>Date; Property Type; Bedrooms; Municipality; Sector</x:v>
      </x:c>
      <x:c r="J71" s="30" t="str">
        <x:v>Asking rent; date; property attributes; location</x:v>
      </x:c>
      <x:c r="K71" s="30" t="str">
        <x:v>TBD — legally/technically appropriate source</x:v>
      </x:c>
      <x:c r="L71" s="30" t="str">
        <x:v>gold.housing_price_metrics</x:v>
      </x:c>
      <x:c r="M71" s="30" t="str">
        <x:v>Housing &amp; Cost of Living</x:v>
      </x:c>
      <x:c r="N71" s="30" t="str">
        <x:v>Phase 2</x:v>
      </x:c>
      <x:c r="O71" s="30" t="str">
        <x:v>Pending Source Validation</x:v>
      </x:c>
      <x:c r="P71" s="30" t="str">
        <x:v>Do not use unauthorized scraping; source feasibility must be established first.</x:v>
      </x:c>
    </x:row>
  </x:sheetData>
  <x:mergeCells>
    <x:mergeCell ref="A1:P1"/>
    <x:mergeCell ref="A2:P2"/>
  </x:mergeCells>
  <x:conditionalFormatting sqref="N5:N71">
    <x:cfRule type="expression" dxfId="0" priority="1">
      <x:formula>N5="MVP"</x:formula>
    </x:cfRule>
    <x:cfRule type="expression" dxfId="1" priority="2">
      <x:formula>N5="Phase 2"</x:formula>
    </x:cfRule>
  </x:conditionalFormatting>
  <x:conditionalFormatting sqref="O5:O71">
    <x:cfRule type="expression" dxfId="2" priority="3">
      <x:formula>O5="Pending Source Validation"</x:formula>
    </x:cfRule>
  </x:conditionalFormatting>
  <x:dataValidations count="2">
    <x:dataValidation type="list" sqref="N5:N71">
      <x:formula1>"MVP,Phase 2,Future"</x:formula1>
    </x:dataValidation>
    <x:dataValidation type="list" sqref="O5:O71">
      <x:formula1>"Proposed,Pending Source Validation,Validated,Deferred"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6f3e8911fb43a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65" hidden="0" customWidth="1"/>
    <x:col min="4" max="4" width="14" hidden="0" customWidth="1"/>
    <x:col min="5" max="5" width="26" hidden="0" customWidth="1"/>
  </x:cols>
  <x:sheetData>
    <x:row r="1" ht="30" customHeight="1">
      <x:c r="A1" s="5" t="str">
        <x:v>Business Questions Register</x:v>
      </x:c>
    </x:row>
    <x:row r="2" ht="28" customHeight="1">
      <x:c r="A2" s="13" t="str">
        <x:v>High-level analytical questions that drive data requirements, KPIs, future Gold datasets, and dashboard design.</x:v>
      </x:c>
    </x:row>
    <x:row r="4">
      <x:c r="A4" s="22" t="str">
        <x:v>Question_ID</x:v>
      </x:c>
      <x:c r="B4" s="22" t="str">
        <x:v>Domain</x:v>
      </x:c>
      <x:c r="C4" s="22" t="str">
        <x:v>Business_Question</x:v>
      </x:c>
      <x:c r="D4" s="22" t="str">
        <x:v>Priority</x:v>
      </x:c>
      <x:c r="E4" s="22" t="str">
        <x:v>Validation_Status</x:v>
      </x:c>
    </x:row>
    <x:row r="5">
      <x:c r="A5" s="28" t="str">
        <x:v>BQ-001</x:v>
      </x:c>
      <x:c r="B5" s="28" t="str">
        <x:v>Inflation &amp; CPI</x:v>
      </x:c>
      <x:c r="C5" s="28" t="str">
        <x:v>How is inflation evolving in the Dominican Republic?</x:v>
      </x:c>
      <x:c r="D5" s="28" t="str">
        <x:v>MVP</x:v>
      </x:c>
      <x:c r="E5" s="28" t="str">
        <x:v>Proposed</x:v>
      </x:c>
    </x:row>
    <x:row r="6">
      <x:c r="A6" s="28" t="str">
        <x:v>BQ-002</x:v>
      </x:c>
      <x:c r="B6" s="28" t="str">
        <x:v>Inflation &amp; CPI</x:v>
      </x:c>
      <x:c r="C6" s="28" t="str">
        <x:v>Which expenditure groups are experiencing the greatest price changes?</x:v>
      </x:c>
      <x:c r="D6" s="28" t="str">
        <x:v>MVP</x:v>
      </x:c>
      <x:c r="E6" s="28" t="str">
        <x:v>Proposed</x:v>
      </x:c>
    </x:row>
    <x:row r="7">
      <x:c r="A7" s="28" t="str">
        <x:v>BQ-003</x:v>
      </x:c>
      <x:c r="B7" s="28" t="str">
        <x:v>Foreign Exchange</x:v>
      </x:c>
      <x:c r="C7" s="28" t="str">
        <x:v>How is the Dominican peso performing against the U.S. dollar?</x:v>
      </x:c>
      <x:c r="D7" s="28" t="str">
        <x:v>MVP</x:v>
      </x:c>
      <x:c r="E7" s="28" t="str">
        <x:v>Proposed</x:v>
      </x:c>
    </x:row>
    <x:row r="8">
      <x:c r="A8" s="28" t="str">
        <x:v>BQ-004</x:v>
      </x:c>
      <x:c r="B8" s="28" t="str">
        <x:v>Monetary Policy</x:v>
      </x:c>
      <x:c r="C8" s="28" t="str">
        <x:v>How has monetary policy evolved relative to inflation?</x:v>
      </x:c>
      <x:c r="D8" s="28" t="str">
        <x:v>MVP</x:v>
      </x:c>
      <x:c r="E8" s="28" t="str">
        <x:v>Proposed</x:v>
      </x:c>
    </x:row>
    <x:row r="9">
      <x:c r="A9" s="28" t="str">
        <x:v>BQ-005</x:v>
      </x:c>
      <x:c r="B9" s="28" t="str">
        <x:v>Fuel Market</x:v>
      </x:c>
      <x:c r="C9" s="28" t="str">
        <x:v>How are fuel prices evolving in the Dominican Republic?</x:v>
      </x:c>
      <x:c r="D9" s="28" t="str">
        <x:v>MVP</x:v>
      </x:c>
      <x:c r="E9" s="28" t="str">
        <x:v>Proposed</x:v>
      </x:c>
    </x:row>
    <x:row r="10">
      <x:c r="A10" s="28" t="str">
        <x:v>BQ-006</x:v>
      </x:c>
      <x:c r="B10" s="28" t="str">
        <x:v>International Oil</x:v>
      </x:c>
      <x:c r="C10" s="28" t="str">
        <x:v>How are international oil prices evolving?</x:v>
      </x:c>
      <x:c r="D10" s="28" t="str">
        <x:v>MVP</x:v>
      </x:c>
      <x:c r="E10" s="28" t="str">
        <x:v>Proposed</x:v>
      </x:c>
    </x:row>
    <x:row r="11">
      <x:c r="A11" s="28" t="str">
        <x:v>BQ-007</x:v>
      </x:c>
      <x:c r="B11" s="28" t="str">
        <x:v>Economic Relationships</x:v>
      </x:c>
      <x:c r="C11" s="28" t="str">
        <x:v>How do international oil prices relate to Dominican fuel prices?</x:v>
      </x:c>
      <x:c r="D11" s="28" t="str">
        <x:v>MVP</x:v>
      </x:c>
      <x:c r="E11" s="28" t="str">
        <x:v>Proposed</x:v>
      </x:c>
    </x:row>
    <x:row r="12">
      <x:c r="A12" s="28" t="str">
        <x:v>BQ-008</x:v>
      </x:c>
      <x:c r="B12" s="28" t="str">
        <x:v>Consumer / Basic Basket</x:v>
      </x:c>
      <x:c r="C12" s="28" t="str">
        <x:v>Which products are contributing most to changes in household purchasing costs?</x:v>
      </x:c>
      <x:c r="D12" s="28" t="str">
        <x:v>MVP</x:v>
      </x:c>
      <x:c r="E12" s="28" t="str">
        <x:v>Proposed</x:v>
      </x:c>
    </x:row>
    <x:row r="13">
      <x:c r="A13" s="28" t="str">
        <x:v>BQ-009</x:v>
      </x:c>
      <x:c r="B13" s="28" t="str">
        <x:v>Agricultural Prices</x:v>
      </x:c>
      <x:c r="C13" s="28" t="str">
        <x:v>Which agricultural products have experienced the greatest price changes, volatility, or seasonality?</x:v>
      </x:c>
      <x:c r="D13" s="28" t="str">
        <x:v>MVP</x:v>
      </x:c>
      <x:c r="E13" s="28" t="str">
        <x:v>Proposed</x:v>
      </x:c>
    </x:row>
    <x:row r="14">
      <x:c r="A14" s="28" t="str">
        <x:v>BQ-010</x:v>
      </x:c>
      <x:c r="B14" s="28" t="str">
        <x:v>Energy / Electricity</x:v>
      </x:c>
      <x:c r="C14" s="28" t="str">
        <x:v>How are electricity and energy costs evolving?</x:v>
      </x:c>
      <x:c r="D14" s="28" t="str">
        <x:v>Phase 2</x:v>
      </x:c>
      <x:c r="E14" s="28" t="str">
        <x:v>Pending Source Validation</x:v>
      </x:c>
    </x:row>
    <x:row r="15">
      <x:c r="A15" s="28" t="str">
        <x:v>BQ-011</x:v>
      </x:c>
      <x:c r="B15" s="28" t="str">
        <x:v>Housing / Rentals</x:v>
      </x:c>
      <x:c r="C15" s="28" t="str">
        <x:v>How are rental prices and housing costs evolving?</x:v>
      </x:c>
      <x:c r="D15" s="28" t="str">
        <x:v>Phase 2</x:v>
      </x:c>
      <x:c r="E15" s="28" t="str">
        <x:v>Pending Source Validation</x:v>
      </x:c>
    </x:row>
    <x:row r="16">
      <x:c r="A16" s="28" t="str">
        <x:v>BQ-012</x:v>
      </x:c>
      <x:c r="B16" s="28" t="str">
        <x:v>Cross-Domain</x:v>
      </x:c>
      <x:c r="C16" s="28" t="str">
        <x:v>How do FX movements compare with domestic inflation and selected local prices?</x:v>
      </x:c>
      <x:c r="D16" s="28" t="str">
        <x:v>Phase 2</x:v>
      </x:c>
      <x:c r="E16" s="28" t="str">
        <x:v>Proposed</x:v>
      </x:c>
    </x:row>
    <x:row r="17">
      <x:c r="A17" s="28" t="str">
        <x:v>BQ-013</x:v>
      </x:c>
      <x:c r="B17" s="28" t="str">
        <x:v>Cross-Domain</x:v>
      </x:c>
      <x:c r="C17" s="28" t="str">
        <x:v>How is the overall cost-of-living environment changing?</x:v>
      </x:c>
      <x:c r="D17" s="28" t="str">
        <x:v>Phase 2</x:v>
      </x:c>
      <x:c r="E17" s="28" t="str">
        <x:v>Proposed</x:v>
      </x:c>
    </x:row>
  </x:sheetData>
  <x:mergeCells>
    <x:mergeCell ref="A1:E1"/>
    <x:mergeCell ref="A2:E2"/>
  </x:mergeCells>
  <x:dataValidations count="2">
    <x:dataValidation type="list" sqref="D5:D17">
      <x:formula1>"MVP,Phase 2,Future"</x:formula1>
    </x:dataValidation>
    <x:dataValidation type="list" sqref="E5:E17">
      <x:formula1>"Proposed,Pending Source Validation,Validated,Deferred"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db896bf83e47e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6" hidden="0" customWidth="1"/>
    <x:col min="5" max="5" width="14" hidden="0" customWidth="1"/>
    <x:col min="6" max="6" width="28" hidden="0" customWidth="1"/>
    <x:col min="7" max="7" width="32" hidden="0" customWidth="1"/>
  </x:cols>
  <x:sheetData>
    <x:row r="1" ht="30" customHeight="1">
      <x:c r="A1" s="32" t="str">
        <x:v>Domain Summary</x:v>
      </x:c>
      <x:c r="B1" s="28"/>
      <x:c r="C1" s="28"/>
      <x:c r="D1" s="28"/>
      <x:c r="E1" s="28"/>
      <x:c r="F1" s="28"/>
      <x:c r="G1" s="28"/>
    </x:row>
    <x:row r="2" ht="28" customHeight="1">
      <x:c r="A2" s="13" t="str">
        <x:v>Portfolio-level summary of KPI coverage by analytical domain. Counts are calculated from the KPI Catalog.</x:v>
      </x:c>
    </x:row>
    <x:row r="4">
      <x:c r="A4" s="22" t="str">
        <x:v>Domain</x:v>
      </x:c>
      <x:c r="B4" s="22" t="str">
        <x:v>Total KPIs</x:v>
      </x:c>
      <x:c r="C4" s="22" t="str">
        <x:v>MVP KPIs</x:v>
      </x:c>
      <x:c r="D4" s="22" t="str">
        <x:v>Phase 2 KPIs</x:v>
      </x:c>
      <x:c r="E4" s="22" t="str">
        <x:v>Proposed</x:v>
      </x:c>
      <x:c r="F4" s="22" t="str">
        <x:v>Pending Source Validation</x:v>
      </x:c>
      <x:c r="G4" s="22" t="str">
        <x:v>Primary Dashboard Page</x:v>
      </x:c>
    </x:row>
    <x:row r="5">
      <x:c r="A5" t="str">
        <x:v>Inflation &amp; CPI</x:v>
      </x:c>
      <x:c r="B5" t="n">
        <x:f>COUNTIF(KPI_Catalog!$B$5:$B$200,A5)</x:f>
        <x:v>6</x:v>
      </x:c>
      <x:c r="C5" t="n">
        <x:f>COUNTIFS(KPI_Catalog!$B$5:$B$200,A5,KPI_Catalog!$N$5:$N$200,"MVP")</x:f>
        <x:v>6</x:v>
      </x:c>
      <x:c r="D5" t="n">
        <x:f>COUNTIFS(KPI_Catalog!$B$5:$B$200,A5,KPI_Catalog!$N$5:$N$200,"Phase 2")</x:f>
        <x:v>0</x:v>
      </x:c>
      <x:c r="E5" t="n">
        <x:f>COUNTIFS(KPI_Catalog!$B$5:$B$200,A5,KPI_Catalog!$O$5:$O$200,"Proposed")</x:f>
        <x:v>6</x:v>
      </x:c>
      <x:c r="F5" t="n">
        <x:f>COUNTIFS(KPI_Catalog!$B$5:$B$200,A5,KPI_Catalog!$O$5:$O$200,"Pending Source Validation")</x:f>
        <x:v>0</x:v>
      </x:c>
      <x:c r="G5" t="str">
        <x:v>Inflation &amp; CPI</x:v>
      </x:c>
    </x:row>
    <x:row r="6">
      <x:c r="A6" t="str">
        <x:v>Foreign Exchange</x:v>
      </x:c>
      <x:c r="B6" t="n">
        <x:f>COUNTIF(KPI_Catalog!$B$5:$B$200,A6)</x:f>
        <x:v>9</x:v>
      </x:c>
      <x:c r="C6" t="n">
        <x:f>COUNTIFS(KPI_Catalog!$B$5:$B$200,A6,KPI_Catalog!$N$5:$N$200,"MVP")</x:f>
        <x:v>9</x:v>
      </x:c>
      <x:c r="D6" t="n">
        <x:f>COUNTIFS(KPI_Catalog!$B$5:$B$200,A6,KPI_Catalog!$N$5:$N$200,"Phase 2")</x:f>
        <x:v>0</x:v>
      </x:c>
      <x:c r="E6" t="n">
        <x:f>COUNTIFS(KPI_Catalog!$B$5:$B$200,A6,KPI_Catalog!$O$5:$O$200,"Proposed")</x:f>
        <x:v>9</x:v>
      </x:c>
      <x:c r="F6" t="n">
        <x:f>COUNTIFS(KPI_Catalog!$B$5:$B$200,A6,KPI_Catalog!$O$5:$O$200,"Pending Source Validation")</x:f>
        <x:v>0</x:v>
      </x:c>
      <x:c r="G6" t="str">
        <x:v>FX Market</x:v>
      </x:c>
    </x:row>
    <x:row r="7">
      <x:c r="A7" t="str">
        <x:v>Monetary Policy</x:v>
      </x:c>
      <x:c r="B7" t="n">
        <x:f>COUNTIF(KPI_Catalog!$B$5:$B$200,A7)</x:f>
        <x:v>5</x:v>
      </x:c>
      <x:c r="C7" t="n">
        <x:f>COUNTIFS(KPI_Catalog!$B$5:$B$200,A7,KPI_Catalog!$N$5:$N$200,"MVP")</x:f>
        <x:v>5</x:v>
      </x:c>
      <x:c r="D7" t="n">
        <x:f>COUNTIFS(KPI_Catalog!$B$5:$B$200,A7,KPI_Catalog!$N$5:$N$200,"Phase 2")</x:f>
        <x:v>0</x:v>
      </x:c>
      <x:c r="E7" t="n">
        <x:f>COUNTIFS(KPI_Catalog!$B$5:$B$200,A7,KPI_Catalog!$O$5:$O$200,"Proposed")</x:f>
        <x:v>5</x:v>
      </x:c>
      <x:c r="F7" t="n">
        <x:f>COUNTIFS(KPI_Catalog!$B$5:$B$200,A7,KPI_Catalog!$O$5:$O$200,"Pending Source Validation")</x:f>
        <x:v>0</x:v>
      </x:c>
      <x:c r="G7" t="str">
        <x:v>Monetary Policy</x:v>
      </x:c>
    </x:row>
    <x:row r="8">
      <x:c r="A8" t="str">
        <x:v>Fuel Market</x:v>
      </x:c>
      <x:c r="B8" t="n">
        <x:f>COUNTIF(KPI_Catalog!$B$5:$B$200,A8)</x:f>
        <x:v>12</x:v>
      </x:c>
      <x:c r="C8" t="n">
        <x:f>COUNTIFS(KPI_Catalog!$B$5:$B$200,A8,KPI_Catalog!$N$5:$N$200,"MVP")</x:f>
        <x:v>12</x:v>
      </x:c>
      <x:c r="D8" t="n">
        <x:f>COUNTIFS(KPI_Catalog!$B$5:$B$200,A8,KPI_Catalog!$N$5:$N$200,"Phase 2")</x:f>
        <x:v>0</x:v>
      </x:c>
      <x:c r="E8" t="n">
        <x:f>COUNTIFS(KPI_Catalog!$B$5:$B$200,A8,KPI_Catalog!$O$5:$O$200,"Proposed")</x:f>
        <x:v>12</x:v>
      </x:c>
      <x:c r="F8" t="n">
        <x:f>COUNTIFS(KPI_Catalog!$B$5:$B$200,A8,KPI_Catalog!$O$5:$O$200,"Pending Source Validation")</x:f>
        <x:v>0</x:v>
      </x:c>
      <x:c r="G8" t="str">
        <x:v>Fuel &amp; Oil Market</x:v>
      </x:c>
    </x:row>
    <x:row r="9">
      <x:c r="A9" t="str">
        <x:v>International Oil</x:v>
      </x:c>
      <x:c r="B9" t="n">
        <x:f>COUNTIF(KPI_Catalog!$B$5:$B$200,A9)</x:f>
        <x:v>8</x:v>
      </x:c>
      <x:c r="C9" t="n">
        <x:f>COUNTIFS(KPI_Catalog!$B$5:$B$200,A9,KPI_Catalog!$N$5:$N$200,"MVP")</x:f>
        <x:v>8</x:v>
      </x:c>
      <x:c r="D9" t="n">
        <x:f>COUNTIFS(KPI_Catalog!$B$5:$B$200,A9,KPI_Catalog!$N$5:$N$200,"Phase 2")</x:f>
        <x:v>0</x:v>
      </x:c>
      <x:c r="E9" t="n">
        <x:f>COUNTIFS(KPI_Catalog!$B$5:$B$200,A9,KPI_Catalog!$O$5:$O$200,"Proposed")</x:f>
        <x:v>8</x:v>
      </x:c>
      <x:c r="F9" t="n">
        <x:f>COUNTIFS(KPI_Catalog!$B$5:$B$200,A9,KPI_Catalog!$O$5:$O$200,"Pending Source Validation")</x:f>
        <x:v>0</x:v>
      </x:c>
      <x:c r="G9" t="str">
        <x:v>Fuel &amp; Oil Market</x:v>
      </x:c>
    </x:row>
    <x:row r="10">
      <x:c r="A10" t="str">
        <x:v>Economic Relationships</x:v>
      </x:c>
      <x:c r="B10" t="n">
        <x:f>COUNTIF(KPI_Catalog!$B$5:$B$200,A10)</x:f>
        <x:v>4</x:v>
      </x:c>
      <x:c r="C10" t="n">
        <x:f>COUNTIFS(KPI_Catalog!$B$5:$B$200,A10,KPI_Catalog!$N$5:$N$200,"MVP")</x:f>
        <x:v>1</x:v>
      </x:c>
      <x:c r="D10" t="n">
        <x:f>COUNTIFS(KPI_Catalog!$B$5:$B$200,A10,KPI_Catalog!$N$5:$N$200,"Phase 2")</x:f>
        <x:v>3</x:v>
      </x:c>
      <x:c r="E10" t="n">
        <x:f>COUNTIFS(KPI_Catalog!$B$5:$B$200,A10,KPI_Catalog!$O$5:$O$200,"Proposed")</x:f>
        <x:v>4</x:v>
      </x:c>
      <x:c r="F10" t="n">
        <x:f>COUNTIFS(KPI_Catalog!$B$5:$B$200,A10,KPI_Catalog!$O$5:$O$200,"Pending Source Validation")</x:f>
        <x:v>0</x:v>
      </x:c>
      <x:c r="G10" t="str">
        <x:v>Economic Relationships</x:v>
      </x:c>
    </x:row>
    <x:row r="11">
      <x:c r="A11" t="str">
        <x:v>Consumer / Basic Basket</x:v>
      </x:c>
      <x:c r="B11" t="n">
        <x:f>COUNTIF(KPI_Catalog!$B$5:$B$200,A11)</x:f>
        <x:v>10</x:v>
      </x:c>
      <x:c r="C11" t="n">
        <x:f>COUNTIFS(KPI_Catalog!$B$5:$B$200,A11,KPI_Catalog!$N$5:$N$200,"MVP")</x:f>
        <x:v>10</x:v>
      </x:c>
      <x:c r="D11" t="n">
        <x:f>COUNTIFS(KPI_Catalog!$B$5:$B$200,A11,KPI_Catalog!$N$5:$N$200,"Phase 2")</x:f>
        <x:v>0</x:v>
      </x:c>
      <x:c r="E11" t="n">
        <x:f>COUNTIFS(KPI_Catalog!$B$5:$B$200,A11,KPI_Catalog!$O$5:$O$200,"Proposed")</x:f>
        <x:v>10</x:v>
      </x:c>
      <x:c r="F11" t="n">
        <x:f>COUNTIFS(KPI_Catalog!$B$5:$B$200,A11,KPI_Catalog!$O$5:$O$200,"Pending Source Validation")</x:f>
        <x:v>0</x:v>
      </x:c>
      <x:c r="G11" t="str">
        <x:v>Basic Basket &amp; Consumer Prices</x:v>
      </x:c>
    </x:row>
    <x:row r="12">
      <x:c r="A12" t="str">
        <x:v>Agricultural Prices</x:v>
      </x:c>
      <x:c r="B12" t="n">
        <x:f>COUNTIF(KPI_Catalog!$B$5:$B$200,A12)</x:f>
        <x:v>7</x:v>
      </x:c>
      <x:c r="C12" t="n">
        <x:f>COUNTIFS(KPI_Catalog!$B$5:$B$200,A12,KPI_Catalog!$N$5:$N$200,"MVP")</x:f>
        <x:v>7</x:v>
      </x:c>
      <x:c r="D12" t="n">
        <x:f>COUNTIFS(KPI_Catalog!$B$5:$B$200,A12,KPI_Catalog!$N$5:$N$200,"Phase 2")</x:f>
        <x:v>0</x:v>
      </x:c>
      <x:c r="E12" t="n">
        <x:f>COUNTIFS(KPI_Catalog!$B$5:$B$200,A12,KPI_Catalog!$O$5:$O$200,"Proposed")</x:f>
        <x:v>7</x:v>
      </x:c>
      <x:c r="F12" t="n">
        <x:f>COUNTIFS(KPI_Catalog!$B$5:$B$200,A12,KPI_Catalog!$O$5:$O$200,"Pending Source Validation")</x:f>
        <x:v>0</x:v>
      </x:c>
      <x:c r="G12" t="str">
        <x:v>Agricultural Prices</x:v>
      </x:c>
    </x:row>
    <x:row r="13">
      <x:c r="A13" t="str">
        <x:v>Energy / Electricity</x:v>
      </x:c>
      <x:c r="B13" t="n">
        <x:f>COUNTIF(KPI_Catalog!$B$5:$B$200,A13)</x:f>
        <x:v>5</x:v>
      </x:c>
      <x:c r="C13" t="n">
        <x:f>COUNTIFS(KPI_Catalog!$B$5:$B$200,A13,KPI_Catalog!$N$5:$N$200,"MVP")</x:f>
        <x:v>0</x:v>
      </x:c>
      <x:c r="D13" t="n">
        <x:f>COUNTIFS(KPI_Catalog!$B$5:$B$200,A13,KPI_Catalog!$N$5:$N$200,"Phase 2")</x:f>
        <x:v>5</x:v>
      </x:c>
      <x:c r="E13" t="n">
        <x:f>COUNTIFS(KPI_Catalog!$B$5:$B$200,A13,KPI_Catalog!$O$5:$O$200,"Proposed")</x:f>
        <x:v>0</x:v>
      </x:c>
      <x:c r="F13" t="n">
        <x:f>COUNTIFS(KPI_Catalog!$B$5:$B$200,A13,KPI_Catalog!$O$5:$O$200,"Pending Source Validation")</x:f>
        <x:v>5</x:v>
      </x:c>
      <x:c r="G13" t="str">
        <x:v>Energy &amp; Electricity</x:v>
      </x:c>
    </x:row>
    <x:row r="14">
      <x:c r="A14" t="str">
        <x:v>Housing / Rentals</x:v>
      </x:c>
      <x:c r="B14" t="n">
        <x:f>COUNTIF(KPI_Catalog!$B$5:$B$200,A14)</x:f>
        <x:v>1</x:v>
      </x:c>
      <x:c r="C14" t="n">
        <x:f>COUNTIFS(KPI_Catalog!$B$5:$B$200,A14,KPI_Catalog!$N$5:$N$200,"MVP")</x:f>
        <x:v>0</x:v>
      </x:c>
      <x:c r="D14" t="n">
        <x:f>COUNTIFS(KPI_Catalog!$B$5:$B$200,A14,KPI_Catalog!$N$5:$N$200,"Phase 2")</x:f>
        <x:v>1</x:v>
      </x:c>
      <x:c r="E14" t="n">
        <x:f>COUNTIFS(KPI_Catalog!$B$5:$B$200,A14,KPI_Catalog!$O$5:$O$200,"Proposed")</x:f>
        <x:v>0</x:v>
      </x:c>
      <x:c r="F14" t="n">
        <x:f>COUNTIFS(KPI_Catalog!$B$5:$B$200,A14,KPI_Catalog!$O$5:$O$200,"Pending Source Validation")</x:f>
        <x:v>1</x:v>
      </x:c>
      <x:c r="G14" t="str">
        <x:v>Housing &amp; Cost of Living</x:v>
      </x:c>
    </x:row>
  </x:sheetData>
  <x:mergeCells>
    <x:mergeCell ref="A1:G1"/>
    <x:mergeCell ref="A2:G2"/>
  </x:mergeCells>
  <x:pageMargins left="0.7" right="0.7" top="0.75" bottom="0.75" header="0.3" footer="0.3"/>
  <x:drawing xmlns:r="http://schemas.openxmlformats.org/officeDocument/2006/relationships" r:id="Rc85c709110174577"/>
  <x:tableParts count="1">
    <x:tablePart xmlns:r="http://schemas.openxmlformats.org/officeDocument/2006/relationships" r:id="R950f97fedb02405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8" hidden="0" customWidth="1"/>
    <x:col min="3" max="3" width="62" hidden="0" customWidth="1"/>
  </x:cols>
  <x:sheetData>
    <x:row r="1" ht="30" customHeight="1">
      <x:c r="A1" s="5" t="str">
        <x:v>Catalog Definitions &amp; Governance</x:v>
      </x:c>
    </x:row>
    <x:row r="2" ht="28" customHeight="1">
      <x:c r="A2" s="13" t="str">
        <x:v>Reference definitions for the fields and status values used in the KPI catalog.</x:v>
      </x:c>
    </x:row>
    <x:row r="4">
      <x:c r="A4" s="34" t="str">
        <x:v>Field</x:v>
      </x:c>
      <x:c r="B4" s="34" t="str">
        <x:v>Definition</x:v>
      </x:c>
      <x:c r="C4" s="34" t="str">
        <x:v>Guidance</x:v>
      </x:c>
    </x:row>
    <x:row r="5">
      <x:c r="A5" s="28" t="str">
        <x:v>KPI_ID</x:v>
      </x:c>
      <x:c r="B5" s="28" t="str">
        <x:v>Unique KPI identifier.</x:v>
      </x:c>
      <x:c r="C5" s="28" t="str">
        <x:v>Use domain prefix + sequential number (e.g., INF-001).</x:v>
      </x:c>
    </x:row>
    <x:row r="6">
      <x:c r="A6" s="28" t="str">
        <x:v>Domain</x:v>
      </x:c>
      <x:c r="B6" s="28" t="str">
        <x:v>Analytical subject area.</x:v>
      </x:c>
      <x:c r="C6" s="28" t="str">
        <x:v>Keep domains stable unless scope is formally changed.</x:v>
      </x:c>
    </x:row>
    <x:row r="7">
      <x:c r="A7" s="28" t="str">
        <x:v>Business_Question</x:v>
      </x:c>
      <x:c r="B7" s="28" t="str">
        <x:v>Question the KPI helps answer.</x:v>
      </x:c>
      <x:c r="C7" s="28" t="str">
        <x:v>Every KPI should trace to a business need/question.</x:v>
      </x:c>
    </x:row>
    <x:row r="8">
      <x:c r="A8" s="28" t="str">
        <x:v>KPI_Name</x:v>
      </x:c>
      <x:c r="B8" s="28" t="str">
        <x:v>Short business-friendly metric name.</x:v>
      </x:c>
      <x:c r="C8" s="28" t="str">
        <x:v>Prefer terminology that can appear on dashboards.</x:v>
      </x:c>
    </x:row>
    <x:row r="9">
      <x:c r="A9" s="28" t="str">
        <x:v>Business_Definition</x:v>
      </x:c>
      <x:c r="B9" s="28" t="str">
        <x:v>Plain-language definition.</x:v>
      </x:c>
      <x:c r="C9" s="28" t="str">
        <x:v>Describe meaning before technical calculation.</x:v>
      </x:c>
    </x:row>
    <x:row r="10">
      <x:c r="A10" s="28" t="str">
        <x:v>Calculation_Logic</x:v>
      </x:c>
      <x:c r="B10" s="28" t="str">
        <x:v>Proposed formula or derivation.</x:v>
      </x:c>
      <x:c r="C10" s="28" t="str">
        <x:v>Must be validated against source definitions and grain.</x:v>
      </x:c>
    </x:row>
    <x:row r="11">
      <x:c r="A11" s="28" t="str">
        <x:v>Unit</x:v>
      </x:c>
      <x:c r="B11" s="28" t="str">
        <x:v>Metric unit.</x:v>
      </x:c>
      <x:c r="C11" s="28" t="str">
        <x:v>Examples: %, DOP/USD, USD/barrel, Index.</x:v>
      </x:c>
    </x:row>
    <x:row r="12">
      <x:c r="A12" s="28" t="str">
        <x:v>Granularity</x:v>
      </x:c>
      <x:c r="B12" s="28" t="str">
        <x:v>Expected observation/analysis frequency.</x:v>
      </x:c>
      <x:c r="C12" s="28" t="str">
        <x:v>Examples: daily, weekly, monthly.</x:v>
      </x:c>
    </x:row>
    <x:row r="13">
      <x:c r="A13" s="28" t="str">
        <x:v>Dimensions</x:v>
      </x:c>
      <x:c r="B13" s="28" t="str">
        <x:v>Dimensions needed to slice/filter the KPI.</x:v>
      </x:c>
      <x:c r="C13" s="28" t="str">
        <x:v>Examples: date, fuel type, region, product.</x:v>
      </x:c>
    </x:row>
    <x:row r="14">
      <x:c r="A14" s="28" t="str">
        <x:v>Required_Data</x:v>
      </x:c>
      <x:c r="B14" s="28" t="str">
        <x:v>Minimum fields/series required.</x:v>
      </x:c>
      <x:c r="C14" s="28" t="str">
        <x:v>Validated during Data Source Assessment.</x:v>
      </x:c>
    </x:row>
    <x:row r="15">
      <x:c r="A15" s="28" t="str">
        <x:v>Expected_Source</x:v>
      </x:c>
      <x:c r="B15" s="28" t="str">
        <x:v>Likely source institution/provider.</x:v>
      </x:c>
      <x:c r="C15" s="28" t="str">
        <x:v>Provisional until source assessment is complete.</x:v>
      </x:c>
    </x:row>
    <x:row r="16">
      <x:c r="A16" s="28" t="str">
        <x:v>Gold_Dataset</x:v>
      </x:c>
      <x:c r="B16" s="28" t="str">
        <x:v>Candidate future Gold analytical dataset.</x:v>
      </x:c>
      <x:c r="C16" s="28" t="str">
        <x:v>Naming remains provisional until architecture/model design.</x:v>
      </x:c>
    </x:row>
    <x:row r="17">
      <x:c r="A17" s="28" t="str">
        <x:v>Dashboard_Page</x:v>
      </x:c>
      <x:c r="B17" s="28" t="str">
        <x:v>Candidate dashboard page.</x:v>
      </x:c>
      <x:c r="C17" s="28" t="str">
        <x:v>Used to maintain business-to-visual traceability.</x:v>
      </x:c>
    </x:row>
    <x:row r="18">
      <x:c r="A18" s="28" t="str">
        <x:v>Priority</x:v>
      </x:c>
      <x:c r="B18" s="28" t="str">
        <x:v>Delivery priority.</x:v>
      </x:c>
      <x:c r="C18" s="28" t="str">
        <x:v>MVP = initial release; Phase 2 = later enhancement.</x:v>
      </x:c>
    </x:row>
    <x:row r="19">
      <x:c r="A19" s="28" t="str">
        <x:v>Validation_Status</x:v>
      </x:c>
      <x:c r="B19" s="28" t="str">
        <x:v>Definition/source readiness.</x:v>
      </x:c>
      <x:c r="C19" s="28" t="str">
        <x:v>Proposed; Pending Source Validation; Validated; Deferred.</x:v>
      </x:c>
    </x:row>
    <x:row r="20">
      <x:c r="A20" s="28" t="str">
        <x:v>Notes</x:v>
      </x:c>
      <x:c r="B20" s="28" t="str">
        <x:v>Important caveats or implementation decisions.</x:v>
      </x:c>
      <x:c r="C20" s="28" t="str">
        <x:v>Use for comparability, methodology, or scope caveats.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67505dc9dae34a6e"/>
  </x:tableParts>
</x:worksheet>
</file>