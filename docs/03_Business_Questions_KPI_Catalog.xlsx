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PI_Catalog" sheetId="1" state="visible" r:id="rId1"/>
    <sheet xmlns:r="http://schemas.openxmlformats.org/officeDocument/2006/relationships" name="Business_Questions" sheetId="2" state="visible" r:id="rId2"/>
    <sheet xmlns:r="http://schemas.openxmlformats.org/officeDocument/2006/relationships" name="Domain_Summary" sheetId="3" state="visible" r:id="rId3"/>
    <sheet xmlns:r="http://schemas.openxmlformats.org/officeDocument/2006/relationships" name="Definition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8"/>
    </font>
    <font>
      <name val="Carlito"/>
      <i val="1"/>
      <color rgb="FF203864"/>
      <sz val="10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/>
  </cellStyles>
  <dxfs count="3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KPI Coverage by Domain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Total KPIs</v>
          </tx>
          <spPr>
            <a:ln xmlns:a="http://schemas.openxmlformats.org/drawingml/2006/main">
              <a:prstDash val="solid"/>
            </a:ln>
          </spPr>
          <cat>
            <strRef>
              <f>'Domain_Summary'!$A$5:$A$14</f>
              <strCache>
                <ptCount val="0"/>
              </strCache>
            </strRef>
          </cat>
          <val>
            <numRef>
              <f>'Domain_Summary'!$B$5:$B$14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MVP KPIs</v>
          </tx>
          <spPr>
            <a:ln xmlns:a="http://schemas.openxmlformats.org/drawingml/2006/main">
              <a:prstDash val="solid"/>
            </a:ln>
          </spPr>
          <cat>
            <strRef>
              <f>'Domain_Summary'!$A$5:$A$14</f>
              <strCache>
                <ptCount val="0"/>
              </strCache>
            </strRef>
          </cat>
          <val>
            <numRef>
              <f>'Domain_Summary'!$C$5:$C$14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3</row>
      <rowOff>0</rowOff>
    </from>
    <to>
      <col>16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KPICatalogTable" displayName="KPICatalogTable" ref="A4:P71" headerRowCount="1" totalsRowCount="0" totalsRowShown="0">
  <tableColumns count="16">
    <tableColumn id="1" name="KPI_ID"/>
    <tableColumn id="2" name="Domain"/>
    <tableColumn id="3" name="Business_Question"/>
    <tableColumn id="4" name="KPI_Name"/>
    <tableColumn id="5" name="Business_Definition"/>
    <tableColumn id="6" name="Calculation_Logic"/>
    <tableColumn id="7" name="Unit"/>
    <tableColumn id="8" name="Granularity"/>
    <tableColumn id="9" name="Dimensions"/>
    <tableColumn id="10" name="Required_Data"/>
    <tableColumn id="11" name="Expected_Source"/>
    <tableColumn id="12" name="Gold_Dataset"/>
    <tableColumn id="13" name="Dashboard_Page"/>
    <tableColumn id="14" name="Priority"/>
    <tableColumn id="15" name="Validation_Status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sinessQuestionsTable" displayName="BusinessQuestionsTable" ref="A4:E17" headerRowCount="1" totalsRowCount="0" totalsRowShown="0">
  <tableColumns count="5">
    <tableColumn id="1" name="Question_ID"/>
    <tableColumn id="2" name="Domain"/>
    <tableColumn id="3" name="Business_Question"/>
    <tableColumn id="4" name="Priority"/>
    <tableColumn id="5" name="Validation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omainSummaryTable" displayName="DomainSummaryTable" ref="A4:G14" headerRowCount="1" totalsRowCount="0" totalsRowShown="0">
  <tableColumns count="7">
    <tableColumn id="1" name="Domain"/>
    <tableColumn id="2" name="Total KPIs"/>
    <tableColumn id="3" name="MVP KPIs"/>
    <tableColumn id="4" name="Phase 2 KPIs"/>
    <tableColumn id="5" name="Proposed"/>
    <tableColumn id="6" name="Pending Source Validation"/>
    <tableColumn id="7" name="Primary Dashboard P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finitionsTable" displayName="DefinitionsTable" ref="A4:C20" headerRowCount="1" totalsRowCount="0" totalsRowShown="0">
  <tableColumns count="3">
    <tableColumn id="1" name="Field"/>
    <tableColumn id="2" name="Definition"/>
    <tableColumn id="3" name="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28" customWidth="1" min="4" max="4"/>
    <col width="42" customWidth="1" min="5" max="5"/>
    <col width="42" customWidth="1" min="6" max="6"/>
    <col width="18" customWidth="1" min="7" max="7"/>
    <col width="20" customWidth="1" min="8" max="8"/>
    <col width="40" customWidth="1" min="9" max="9"/>
    <col width="38" customWidth="1" min="10" max="10"/>
    <col width="34" customWidth="1" min="11" max="11"/>
    <col width="30" customWidth="1" min="12" max="12"/>
    <col width="28" customWidth="1" min="13" max="13"/>
    <col width="14" customWidth="1" min="14" max="14"/>
    <col width="24" customWidth="1" min="15" max="15"/>
    <col width="42" customWidth="1" min="16" max="16"/>
  </cols>
  <sheetData>
    <row r="1" ht="30" customHeight="1">
      <c r="A1" s="9" t="inlineStr">
        <is>
          <t>Business Questions &amp; KPI Catalog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8" customHeight="1">
      <c r="A2" s="17" t="inlineStr">
        <is>
          <t>Working catalog linking business questions to KPI definitions, calculation logic, required data, expected sources, future Gold datasets, and dashboard pages. Source fields remain provisional until Data Source Assessment.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 ht="36" customHeight="1">
      <c r="A4" s="22" t="inlineStr">
        <is>
          <t>KPI_ID</t>
        </is>
      </c>
      <c r="B4" s="22" t="inlineStr">
        <is>
          <t>Domain</t>
        </is>
      </c>
      <c r="C4" s="22" t="inlineStr">
        <is>
          <t>Business_Question</t>
        </is>
      </c>
      <c r="D4" s="22" t="inlineStr">
        <is>
          <t>KPI_Name</t>
        </is>
      </c>
      <c r="E4" s="22" t="inlineStr">
        <is>
          <t>Business_Definition</t>
        </is>
      </c>
      <c r="F4" s="22" t="inlineStr">
        <is>
          <t>Calculation_Logic</t>
        </is>
      </c>
      <c r="G4" s="22" t="inlineStr">
        <is>
          <t>Unit</t>
        </is>
      </c>
      <c r="H4" s="22" t="inlineStr">
        <is>
          <t>Granularity</t>
        </is>
      </c>
      <c r="I4" s="22" t="inlineStr">
        <is>
          <t>Dimensions</t>
        </is>
      </c>
      <c r="J4" s="22" t="inlineStr">
        <is>
          <t>Required_Data</t>
        </is>
      </c>
      <c r="K4" s="22" t="inlineStr">
        <is>
          <t>Expected_Source</t>
        </is>
      </c>
      <c r="L4" s="22" t="inlineStr">
        <is>
          <t>Gold_Dataset</t>
        </is>
      </c>
      <c r="M4" s="22" t="inlineStr">
        <is>
          <t>Dashboard_Page</t>
        </is>
      </c>
      <c r="N4" s="22" t="inlineStr">
        <is>
          <t>Priority</t>
        </is>
      </c>
      <c r="O4" s="22" t="inlineStr">
        <is>
          <t>Validation_Status</t>
        </is>
      </c>
      <c r="P4" s="22" t="inlineStr">
        <is>
          <t>Notes</t>
        </is>
      </c>
    </row>
    <row r="5">
      <c r="A5" s="30" t="inlineStr">
        <is>
          <t>INF-001</t>
        </is>
      </c>
      <c r="B5" s="30" t="inlineStr">
        <is>
          <t>Inflation &amp; CPI</t>
        </is>
      </c>
      <c r="C5" s="30" t="inlineStr">
        <is>
          <t>How is inflation evolving in the Dominican Republic?</t>
        </is>
      </c>
      <c r="D5" s="30" t="inlineStr">
        <is>
          <t>CPI Index</t>
        </is>
      </c>
      <c r="E5" s="30" t="inlineStr">
        <is>
          <t>Official consumer price index level for the reference period.</t>
        </is>
      </c>
      <c r="F5" s="30" t="inlineStr">
        <is>
          <t>Published CPI index value</t>
        </is>
      </c>
      <c r="G5" s="30" t="inlineStr">
        <is>
          <t>Index</t>
        </is>
      </c>
      <c r="H5" s="30" t="inlineStr">
        <is>
          <t>Monthly</t>
        </is>
      </c>
      <c r="I5" s="30" t="inlineStr">
        <is>
          <t>Date; Expenditure Group</t>
        </is>
      </c>
      <c r="J5" s="30" t="inlineStr">
        <is>
          <t>CPI index; reference period</t>
        </is>
      </c>
      <c r="K5" s="30" t="inlineStr">
        <is>
          <t>BCRD — IPC base Oct 2019–Sep 2020 workbooks (validated 2026-10-23)</t>
        </is>
      </c>
      <c r="L5" s="30" t="inlineStr">
        <is>
          <t>gold.inflation_metrics</t>
        </is>
      </c>
      <c r="M5" s="30" t="inlineStr">
        <is>
          <t>Inflation &amp; CPI</t>
        </is>
      </c>
      <c r="N5" s="30" t="inlineStr">
        <is>
          <t>MVP</t>
        </is>
      </c>
      <c r="O5" s="30" t="inlineStr">
        <is>
          <t>Validated</t>
        </is>
      </c>
      <c r="P5" s="30" t="inlineStr">
        <is>
          <t>Base Oct 2019 - Sep 2020 = 100. Series: headline 1984+, groups 1999+, core 2000+, regions 2011+. gold.inflation_metrics.</t>
        </is>
      </c>
    </row>
    <row r="6">
      <c r="A6" s="30" t="inlineStr">
        <is>
          <t>INF-002</t>
        </is>
      </c>
      <c r="B6" s="30" t="inlineStr">
        <is>
          <t>Inflation &amp; CPI</t>
        </is>
      </c>
      <c r="C6" s="30" t="inlineStr">
        <is>
          <t>How is inflation evolving in the Dominican Republic?</t>
        </is>
      </c>
      <c r="D6" s="30" t="inlineStr">
        <is>
          <t>Monthly Inflation</t>
        </is>
      </c>
      <c r="E6" s="30" t="inlineStr">
        <is>
          <t>Percentage change in CPI versus the previous month.</t>
        </is>
      </c>
      <c r="F6" s="30" t="inlineStr">
        <is>
          <t>(CPI_t / CPI_t-1 - 1) * 100</t>
        </is>
      </c>
      <c r="G6" s="30" t="inlineStr">
        <is>
          <t>%</t>
        </is>
      </c>
      <c r="H6" s="30" t="inlineStr">
        <is>
          <t>Monthly</t>
        </is>
      </c>
      <c r="I6" s="30" t="inlineStr">
        <is>
          <t>Date</t>
        </is>
      </c>
      <c r="J6" s="30" t="inlineStr">
        <is>
          <t>Current CPI; previous-month CPI</t>
        </is>
      </c>
      <c r="K6" s="30" t="inlineStr">
        <is>
          <t>BCRD — IPC base Oct 2019–Sep 2020 workbooks (validated 2026-10-23)</t>
        </is>
      </c>
      <c r="L6" s="30" t="inlineStr">
        <is>
          <t>gold.inflation_metrics</t>
        </is>
      </c>
      <c r="M6" s="30" t="inlineStr">
        <is>
          <t>Inflation &amp; CPI</t>
        </is>
      </c>
      <c r="N6" s="30" t="inlineStr">
        <is>
          <t>MVP</t>
        </is>
      </c>
      <c r="O6" s="30" t="inlineStr">
        <is>
          <t>Validated</t>
        </is>
      </c>
      <c r="P6" s="30" t="inlineStr">
        <is>
          <t>Calculated from the index; reconciles with BCRD published monthly variation on 5,550/5,550 comparable values (all series).</t>
        </is>
      </c>
    </row>
    <row r="7">
      <c r="A7" s="30" t="inlineStr">
        <is>
          <t>INF-003</t>
        </is>
      </c>
      <c r="B7" s="30" t="inlineStr">
        <is>
          <t>Inflation &amp; CPI</t>
        </is>
      </c>
      <c r="C7" s="30" t="inlineStr">
        <is>
          <t>How is inflation evolving in the Dominican Republic?</t>
        </is>
      </c>
      <c r="D7" s="30" t="inlineStr">
        <is>
          <t>YoY Inflation</t>
        </is>
      </c>
      <c r="E7" s="30" t="inlineStr">
        <is>
          <t>Percentage change in CPI versus the same month one year earlier.</t>
        </is>
      </c>
      <c r="F7" s="30" t="inlineStr">
        <is>
          <t>(CPI_t / CPI_t-12 - 1) * 100</t>
        </is>
      </c>
      <c r="G7" s="30" t="inlineStr">
        <is>
          <t>%</t>
        </is>
      </c>
      <c r="H7" s="30" t="inlineStr">
        <is>
          <t>Monthly</t>
        </is>
      </c>
      <c r="I7" s="30" t="inlineStr">
        <is>
          <t>Date</t>
        </is>
      </c>
      <c r="J7" s="30" t="inlineStr">
        <is>
          <t>Current CPI; CPI 12 months prior</t>
        </is>
      </c>
      <c r="K7" s="30" t="inlineStr">
        <is>
          <t>BCRD — IPC base Oct 2019–Sep 2020 workbooks (validated 2026-10-23)</t>
        </is>
      </c>
      <c r="L7" s="30" t="inlineStr">
        <is>
          <t>gold.inflation_metrics</t>
        </is>
      </c>
      <c r="M7" s="30" t="inlineStr">
        <is>
          <t>Inflation &amp; CPI</t>
        </is>
      </c>
      <c r="N7" s="30" t="inlineStr">
        <is>
          <t>MVP</t>
        </is>
      </c>
      <c r="O7" s="30" t="inlineStr">
        <is>
          <t>Validated</t>
        </is>
      </c>
      <c r="P7" s="30" t="inlineStr">
        <is>
          <t>Reconciles with BCRD published 12-month variation (headline and core, 808/808). NULL until 12 months of history (D4 rule).</t>
        </is>
      </c>
    </row>
    <row r="8">
      <c r="A8" s="30" t="inlineStr">
        <is>
          <t>INF-004</t>
        </is>
      </c>
      <c r="B8" s="30" t="inlineStr">
        <is>
          <t>Inflation &amp; CPI</t>
        </is>
      </c>
      <c r="C8" s="30" t="inlineStr">
        <is>
          <t>How is inflation evolving in the Dominican Republic?</t>
        </is>
      </c>
      <c r="D8" s="30" t="inlineStr">
        <is>
          <t>YTD Inflation</t>
        </is>
      </c>
      <c r="E8" s="30" t="inlineStr">
        <is>
          <t>Cumulative CPI change from the end of the prior year to the current period.</t>
        </is>
      </c>
      <c r="F8" s="30" t="inlineStr">
        <is>
          <t>(CPI_t / CPI_Dec_prev_year - 1) * 100</t>
        </is>
      </c>
      <c r="G8" s="30" t="inlineStr">
        <is>
          <t>%</t>
        </is>
      </c>
      <c r="H8" s="30" t="inlineStr">
        <is>
          <t>Monthly</t>
        </is>
      </c>
      <c r="I8" s="30" t="inlineStr">
        <is>
          <t>Date</t>
        </is>
      </c>
      <c r="J8" s="30" t="inlineStr">
        <is>
          <t>Current CPI; prior December CPI</t>
        </is>
      </c>
      <c r="K8" s="30" t="inlineStr">
        <is>
          <t>BCRD — IPC base Oct 2019–Sep 2020 workbooks (validated 2026-10-23)</t>
        </is>
      </c>
      <c r="L8" s="30" t="inlineStr">
        <is>
          <t>gold.inflation_metrics</t>
        </is>
      </c>
      <c r="M8" s="30" t="inlineStr">
        <is>
          <t>Inflation &amp; CPI</t>
        </is>
      </c>
      <c r="N8" s="30" t="inlineStr">
        <is>
          <t>MVP</t>
        </is>
      </c>
      <c r="O8" s="30" t="inlineStr">
        <is>
          <t>Validated</t>
        </is>
      </c>
      <c r="P8" s="30" t="inlineStr">
        <is>
          <t>Equals BCRD "con Dic." variation; reconciles 808/808. NULL in the first year of each series.</t>
        </is>
      </c>
    </row>
    <row r="9">
      <c r="A9" s="30" t="inlineStr">
        <is>
          <t>INF-005</t>
        </is>
      </c>
      <c r="B9" s="30" t="inlineStr">
        <is>
          <t>Inflation &amp; CPI</t>
        </is>
      </c>
      <c r="C9" s="30" t="inlineStr">
        <is>
          <t>How is underlying inflation evolving?</t>
        </is>
      </c>
      <c r="D9" s="30" t="inlineStr">
        <is>
          <t>Core Inflation</t>
        </is>
      </c>
      <c r="E9" s="30" t="inlineStr">
        <is>
          <t>Underlying inflation measure excluding or adjusting selected volatile components according to the official methodology.</t>
        </is>
      </c>
      <c r="F9" s="30" t="inlineStr">
        <is>
          <t>Same formulas applied to the official BCRD core CPI index</t>
        </is>
      </c>
      <c r="G9" s="30" t="inlineStr">
        <is>
          <t>%</t>
        </is>
      </c>
      <c r="H9" s="30" t="inlineStr">
        <is>
          <t>Monthly</t>
        </is>
      </c>
      <c r="I9" s="30" t="inlineStr">
        <is>
          <t>Date</t>
        </is>
      </c>
      <c r="J9" s="30" t="inlineStr">
        <is>
          <t>Official core inflation series</t>
        </is>
      </c>
      <c r="K9" s="30" t="inlineStr">
        <is>
          <t>BCRD — IPC base Oct 2019–Sep 2020 workbooks (validated 2026-10-23)</t>
        </is>
      </c>
      <c r="L9" s="30" t="inlineStr">
        <is>
          <t>gold.inflation_metrics</t>
        </is>
      </c>
      <c r="M9" s="30" t="inlineStr">
        <is>
          <t>Inflation &amp; CPI</t>
        </is>
      </c>
      <c r="N9" s="30" t="inlineStr">
        <is>
          <t>MVP</t>
        </is>
      </c>
      <c r="O9" s="30" t="inlineStr">
        <is>
          <t>Validated</t>
        </is>
      </c>
      <c r="P9" s="30" t="inlineStr">
        <is>
          <t>Official core index used as published (excludes volatile agricultural goods, alcohol, tobacco, fuels, administered and transport services); series_type = core.</t>
        </is>
      </c>
    </row>
    <row r="10">
      <c r="A10" s="30" t="inlineStr">
        <is>
          <t>INF-006</t>
        </is>
      </c>
      <c r="B10" s="30" t="inlineStr">
        <is>
          <t>Inflation &amp; CPI</t>
        </is>
      </c>
      <c r="C10" s="30" t="inlineStr">
        <is>
          <t>Which expenditure groups are experiencing the greatest price changes?</t>
        </is>
      </c>
      <c r="D10" s="30" t="inlineStr">
        <is>
          <t>Inflation by Expenditure Group</t>
        </is>
      </c>
      <c r="E10" s="30" t="inlineStr">
        <is>
          <t>Inflation rate by CPI expenditure group/category.</t>
        </is>
      </c>
      <c r="F10" s="30" t="inlineStr">
        <is>
          <t>Same formulas applied to each expenditure-group index</t>
        </is>
      </c>
      <c r="G10" s="30" t="inlineStr">
        <is>
          <t>%</t>
        </is>
      </c>
      <c r="H10" s="30" t="inlineStr">
        <is>
          <t>Monthly</t>
        </is>
      </c>
      <c r="I10" s="30" t="inlineStr">
        <is>
          <t>Date; Expenditure Group</t>
        </is>
      </c>
      <c r="J10" s="30" t="inlineStr">
        <is>
          <t>CPI by expenditure group</t>
        </is>
      </c>
      <c r="K10" s="30" t="inlineStr">
        <is>
          <t>BCRD — IPC base Oct 2019–Sep 2020 workbooks (validated 2026-10-23)</t>
        </is>
      </c>
      <c r="L10" s="30" t="inlineStr">
        <is>
          <t>gold.inflation_metrics</t>
        </is>
      </c>
      <c r="M10" s="30" t="inlineStr">
        <is>
          <t>Inflation &amp; CPI</t>
        </is>
      </c>
      <c r="N10" s="30" t="inlineStr">
        <is>
          <t>MVP</t>
        </is>
      </c>
      <c r="O10" s="30" t="inlineStr">
        <is>
          <t>Validated</t>
        </is>
      </c>
      <c r="P10" s="30" t="inlineStr">
        <is>
          <t>12 COICOP-style groups as published by BCRD; series_type = expenditure_group. Regional CPI (4 regions) also available as series_type = region.</t>
        </is>
      </c>
    </row>
    <row r="11">
      <c r="A11" s="30" t="inlineStr">
        <is>
          <t>FX-001</t>
        </is>
      </c>
      <c r="B11" s="30" t="inlineStr">
        <is>
          <t>Foreign Exchange</t>
        </is>
      </c>
      <c r="C11" s="30" t="inlineStr">
        <is>
          <t>How is the Dominican peso performing against the U.S. dollar?</t>
        </is>
      </c>
      <c r="D11" s="30" t="inlineStr">
        <is>
          <t>USD/DOP Buy Rate</t>
        </is>
      </c>
      <c r="E11" s="30" t="inlineStr">
        <is>
          <t>Reference buying exchange rate for USD against DOP.</t>
        </is>
      </c>
      <c r="F11" s="30" t="inlineStr">
        <is>
          <t>Published BCRD buy rate</t>
        </is>
      </c>
      <c r="G11" s="30" t="inlineStr">
        <is>
          <t>DOP/USD</t>
        </is>
      </c>
      <c r="H11" s="30" t="inlineStr">
        <is>
          <t>Daily (business days)</t>
        </is>
      </c>
      <c r="I11" s="30" t="inlineStr">
        <is>
          <t>Date; Currency; Rate Type</t>
        </is>
      </c>
      <c r="J11" s="30" t="inlineStr">
        <is>
          <t>Buy rate</t>
        </is>
      </c>
      <c r="K11" s="30" t="inlineStr">
        <is>
          <t>BCRD — Histórico diario de tasas (validated 2026-10-23)</t>
        </is>
      </c>
      <c r="L11" s="30" t="inlineStr">
        <is>
          <t>gold.exchange_rate_metrics</t>
        </is>
      </c>
      <c r="M11" s="30" t="inlineStr">
        <is>
          <t>FX Market</t>
        </is>
      </c>
      <c r="N11" s="30" t="inlineStr">
        <is>
          <t>MVP</t>
        </is>
      </c>
      <c r="O11" s="30" t="inlineStr">
        <is>
          <t>Validated</t>
        </is>
      </c>
      <c r="P11" s="30" t="inlineStr">
        <is>
          <t>Rate = DOP per 1 USD. Source validated: 1,253 business-day observations 2021-09-20 to 2026-09-18; Bronze table bronze.bcrd_exchange_rates_daily.</t>
        </is>
      </c>
    </row>
    <row r="12">
      <c r="A12" s="30" t="inlineStr">
        <is>
          <t>FX-002</t>
        </is>
      </c>
      <c r="B12" s="30" t="inlineStr">
        <is>
          <t>Foreign Exchange</t>
        </is>
      </c>
      <c r="C12" s="30" t="inlineStr">
        <is>
          <t>How is the Dominican peso performing against the U.S. dollar?</t>
        </is>
      </c>
      <c r="D12" s="30" t="inlineStr">
        <is>
          <t>USD/DOP Sell Rate</t>
        </is>
      </c>
      <c r="E12" s="30" t="inlineStr">
        <is>
          <t>Reference selling exchange rate for USD against DOP.</t>
        </is>
      </c>
      <c r="F12" s="30" t="inlineStr">
        <is>
          <t>Published BCRD sell rate</t>
        </is>
      </c>
      <c r="G12" s="30" t="inlineStr">
        <is>
          <t>DOP/USD</t>
        </is>
      </c>
      <c r="H12" s="30" t="inlineStr">
        <is>
          <t>Daily (business days)</t>
        </is>
      </c>
      <c r="I12" s="30" t="inlineStr">
        <is>
          <t>Date; Currency; Rate Type</t>
        </is>
      </c>
      <c r="J12" s="30" t="inlineStr">
        <is>
          <t>Sell rate</t>
        </is>
      </c>
      <c r="K12" s="30" t="inlineStr">
        <is>
          <t>BCRD — Histórico diario de tasas (validated 2026-10-23)</t>
        </is>
      </c>
      <c r="L12" s="30" t="inlineStr">
        <is>
          <t>gold.exchange_rate_metrics</t>
        </is>
      </c>
      <c r="M12" s="30" t="inlineStr">
        <is>
          <t>FX Market</t>
        </is>
      </c>
      <c r="N12" s="30" t="inlineStr">
        <is>
          <t>MVP</t>
        </is>
      </c>
      <c r="O12" s="30" t="inlineStr">
        <is>
          <t>Validated</t>
        </is>
      </c>
      <c r="P12" s="30" t="inlineStr">
        <is>
          <t>Rate = DOP per 1 USD. Same source and coverage as FX-001.</t>
        </is>
      </c>
    </row>
    <row r="13">
      <c r="A13" s="30" t="inlineStr">
        <is>
          <t>FX-003</t>
        </is>
      </c>
      <c r="B13" s="30" t="inlineStr">
        <is>
          <t>Foreign Exchange</t>
        </is>
      </c>
      <c r="C13" s="30" t="inlineStr">
        <is>
          <t>How is the Dominican peso performing against the U.S. dollar?</t>
        </is>
      </c>
      <c r="D13" s="30" t="inlineStr">
        <is>
          <t>Daily FX Change</t>
        </is>
      </c>
      <c r="E13" s="30" t="inlineStr">
        <is>
          <t>Percentage change versus the prior available trading/observation day.</t>
        </is>
      </c>
      <c r="F13" s="30" t="inlineStr">
        <is>
          <t>(Rate_t / Rate_prev_business_day - 1) * 100</t>
        </is>
      </c>
      <c r="G13" s="30" t="inlineStr">
        <is>
          <t>%</t>
        </is>
      </c>
      <c r="H13" s="30" t="inlineStr">
        <is>
          <t>Daily (business days)</t>
        </is>
      </c>
      <c r="I13" s="30" t="inlineStr">
        <is>
          <t>Date; Currency; Rate Type</t>
        </is>
      </c>
      <c r="J13" s="30" t="inlineStr">
        <is>
          <t>Current and prior rate</t>
        </is>
      </c>
      <c r="K13" s="30" t="inlineStr">
        <is>
          <t>BCRD — Histórico diario de tasas (validated 2026-10-23)</t>
        </is>
      </c>
      <c r="L13" s="30" t="inlineStr">
        <is>
          <t>gold.exchange_rate_metrics</t>
        </is>
      </c>
      <c r="M13" s="30" t="inlineStr">
        <is>
          <t>FX Market</t>
        </is>
      </c>
      <c r="N13" s="30" t="inlineStr">
        <is>
          <t>MVP</t>
        </is>
      </c>
      <c r="O13" s="30" t="inlineStr">
        <is>
          <t>Validated</t>
        </is>
      </c>
      <c r="P13" s="30" t="inlineStr">
        <is>
          <t>D1 Methodology: conventional % change (positive = rate up = DOP depreciation). BCRD official apre/depre uses the reciprocal (1/rate), opposite sign; kept as separate reference column, never mixed. Label: "Rate up = peso depreciation".</t>
        </is>
      </c>
    </row>
    <row r="14">
      <c r="A14" s="30" t="inlineStr">
        <is>
          <t>FX-004</t>
        </is>
      </c>
      <c r="B14" s="30" t="inlineStr">
        <is>
          <t>Foreign Exchange</t>
        </is>
      </c>
      <c r="C14" s="30" t="inlineStr">
        <is>
          <t>How is the Dominican peso performing against the U.S. dollar?</t>
        </is>
      </c>
      <c r="D14" s="30" t="inlineStr">
        <is>
          <t>MoM FX Change</t>
        </is>
      </c>
      <c r="E14" s="30" t="inlineStr">
        <is>
          <t>Percentage change versus comparable prior-month reference.</t>
        </is>
      </c>
      <c r="F14" s="30" t="inlineStr">
        <is>
          <t>(Rate_month_end / Rate_prev_month_end - 1) * 100</t>
        </is>
      </c>
      <c r="G14" s="30" t="inlineStr">
        <is>
          <t>%</t>
        </is>
      </c>
      <c r="H14" s="30" t="inlineStr">
        <is>
          <t>Monthly</t>
        </is>
      </c>
      <c r="I14" s="30" t="inlineStr">
        <is>
          <t>Date; Currency; Rate Type</t>
        </is>
      </c>
      <c r="J14" s="30" t="inlineStr">
        <is>
          <t>Current and prior-month rate</t>
        </is>
      </c>
      <c r="K14" s="30" t="inlineStr">
        <is>
          <t>BCRD — Histórico diario de tasas (validated 2026-10-23)</t>
        </is>
      </c>
      <c r="L14" s="30" t="inlineStr">
        <is>
          <t>gold.exchange_rate_metrics</t>
        </is>
      </c>
      <c r="M14" s="30" t="inlineStr">
        <is>
          <t>FX Market</t>
        </is>
      </c>
      <c r="N14" s="30" t="inlineStr">
        <is>
          <t>MVP</t>
        </is>
      </c>
      <c r="O14" s="30" t="inlineStr">
        <is>
          <t>Validated</t>
        </is>
      </c>
      <c r="P14" s="30" t="inlineStr">
        <is>
          <t>D1 conventional % change. D2 Monthly reference = rate on the last available business day of the month. Monthly average may be added later for inflation comparison.</t>
        </is>
      </c>
    </row>
    <row r="15">
      <c r="A15" s="30" t="inlineStr">
        <is>
          <t>FX-005</t>
        </is>
      </c>
      <c r="B15" s="30" t="inlineStr">
        <is>
          <t>Foreign Exchange</t>
        </is>
      </c>
      <c r="C15" s="30" t="inlineStr">
        <is>
          <t>How is the Dominican peso performing against the U.S. dollar?</t>
        </is>
      </c>
      <c r="D15" s="30" t="inlineStr">
        <is>
          <t>YoY FX Change</t>
        </is>
      </c>
      <c r="E15" s="30" t="inlineStr">
        <is>
          <t>Percentage change versus the comparable period one year earlier.</t>
        </is>
      </c>
      <c r="F15" s="30" t="inlineStr">
        <is>
          <t>(Rate_month_end / Rate_month_end_12_months_earlier - 1) * 100</t>
        </is>
      </c>
      <c r="G15" s="30" t="inlineStr">
        <is>
          <t>%</t>
        </is>
      </c>
      <c r="H15" s="30" t="inlineStr">
        <is>
          <t>Monthly</t>
        </is>
      </c>
      <c r="I15" s="30" t="inlineStr">
        <is>
          <t>Date; Currency; Rate Type</t>
        </is>
      </c>
      <c r="J15" s="30" t="inlineStr">
        <is>
          <t>Current and year-ago rate</t>
        </is>
      </c>
      <c r="K15" s="30" t="inlineStr">
        <is>
          <t>BCRD — Histórico diario de tasas (validated 2026-10-23)</t>
        </is>
      </c>
      <c r="L15" s="30" t="inlineStr">
        <is>
          <t>gold.exchange_rate_metrics</t>
        </is>
      </c>
      <c r="M15" s="30" t="inlineStr">
        <is>
          <t>FX Market</t>
        </is>
      </c>
      <c r="N15" s="30" t="inlineStr">
        <is>
          <t>MVP</t>
        </is>
      </c>
      <c r="O15" s="30" t="inlineStr">
        <is>
          <t>Validated</t>
        </is>
      </c>
      <c r="P15" s="30" t="inlineStr">
        <is>
          <t>D1 conventional % change. D2 month-end reference. D4 NULL until 12 months of history exist (first full value Sep-2022); is_full_window flag.</t>
        </is>
      </c>
    </row>
    <row r="16">
      <c r="A16" s="30" t="inlineStr">
        <is>
          <t>FX-006</t>
        </is>
      </c>
      <c r="B16" s="30" t="inlineStr">
        <is>
          <t>Foreign Exchange</t>
        </is>
      </c>
      <c r="C16" s="30" t="inlineStr">
        <is>
          <t>How is the Dominican peso performing against the U.S. dollar?</t>
        </is>
      </c>
      <c r="D16" s="30" t="inlineStr">
        <is>
          <t>YTD FX Change</t>
        </is>
      </c>
      <c r="E16" s="30" t="inlineStr">
        <is>
          <t>Percentage change versus the final observation of the prior year.</t>
        </is>
      </c>
      <c r="F16" s="30" t="inlineStr">
        <is>
          <t>(Rate_t / Rate_last_business_day_prev_year - 1) * 100</t>
        </is>
      </c>
      <c r="G16" s="30" t="inlineStr">
        <is>
          <t>%</t>
        </is>
      </c>
      <c r="H16" s="30" t="inlineStr">
        <is>
          <t>Daily / Monthly</t>
        </is>
      </c>
      <c r="I16" s="30" t="inlineStr">
        <is>
          <t>Date; Currency; Rate Type</t>
        </is>
      </c>
      <c r="J16" s="30" t="inlineStr">
        <is>
          <t>Current and prior-year-end rate</t>
        </is>
      </c>
      <c r="K16" s="30" t="inlineStr">
        <is>
          <t>BCRD — Histórico diario de tasas (validated 2026-10-23)</t>
        </is>
      </c>
      <c r="L16" s="30" t="inlineStr">
        <is>
          <t>gold.exchange_rate_metrics</t>
        </is>
      </c>
      <c r="M16" s="30" t="inlineStr">
        <is>
          <t>FX Market</t>
        </is>
      </c>
      <c r="N16" s="30" t="inlineStr">
        <is>
          <t>MVP</t>
        </is>
      </c>
      <c r="O16" s="30" t="inlineStr">
        <is>
          <t>Validated</t>
        </is>
      </c>
      <c r="P16" s="30" t="inlineStr">
        <is>
          <t>D1 conventional % change. BCRD official accumulated apre/depre (reciprocal method) kept as reference column. D4 NULL for 2021 (no prior year-end in source).</t>
        </is>
      </c>
    </row>
    <row r="17">
      <c r="A17" s="30" t="inlineStr">
        <is>
          <t>FX-007</t>
        </is>
      </c>
      <c r="B17" s="30" t="inlineStr">
        <is>
          <t>Foreign Exchange</t>
        </is>
      </c>
      <c r="C17" s="30" t="inlineStr">
        <is>
          <t>How is the Dominican peso performing against the U.S. dollar?</t>
        </is>
      </c>
      <c r="D17" s="30" t="inlineStr">
        <is>
          <t>30-Day Moving Average</t>
        </is>
      </c>
      <c r="E17" s="30" t="inlineStr">
        <is>
          <t>Average exchange rate over the trailing 30 business-day observations.</t>
        </is>
      </c>
      <c r="F17" s="30" t="inlineStr">
        <is>
          <t>AVG(rate) over trailing 30 business-day observations (current included)</t>
        </is>
      </c>
      <c r="G17" s="30" t="inlineStr">
        <is>
          <t>DOP/USD</t>
        </is>
      </c>
      <c r="H17" s="30" t="inlineStr">
        <is>
          <t>Daily</t>
        </is>
      </c>
      <c r="I17" s="30" t="inlineStr">
        <is>
          <t>Date; Currency; Rate Type</t>
        </is>
      </c>
      <c r="J17" s="30" t="inlineStr">
        <is>
          <t>Daily exchange rate history</t>
        </is>
      </c>
      <c r="K17" s="30" t="inlineStr">
        <is>
          <t>BCRD — Histórico diario de tasas (validated 2026-10-23)</t>
        </is>
      </c>
      <c r="L17" s="30" t="inlineStr">
        <is>
          <t>gold.exchange_rate_metrics</t>
        </is>
      </c>
      <c r="M17" s="30" t="inlineStr">
        <is>
          <t>FX Market</t>
        </is>
      </c>
      <c r="N17" s="30" t="inlineStr">
        <is>
          <t>MVP</t>
        </is>
      </c>
      <c r="O17" s="30" t="inlineStr">
        <is>
          <t>Validated</t>
        </is>
      </c>
      <c r="P17" s="30" t="inlineStr">
        <is>
          <t>D3 Window = 30 observations (business days, ~6 calendar weeks); source has no weekend/holiday rows. D4 NULL until 30 observations exist; is_full_window flag.</t>
        </is>
      </c>
    </row>
    <row r="18">
      <c r="A18" s="30" t="inlineStr">
        <is>
          <t>FX-008</t>
        </is>
      </c>
      <c r="B18" s="30" t="inlineStr">
        <is>
          <t>Foreign Exchange</t>
        </is>
      </c>
      <c r="C18" s="30" t="inlineStr">
        <is>
          <t>How is the Dominican peso performing against the U.S. dollar?</t>
        </is>
      </c>
      <c r="D18" s="30" t="inlineStr">
        <is>
          <t>52-Week High</t>
        </is>
      </c>
      <c r="E18" s="30" t="inlineStr">
        <is>
          <t>Highest exchange rate in the trailing 52-week window.</t>
        </is>
      </c>
      <c r="F18" s="30" t="inlineStr">
        <is>
          <t>MAX(rate) over trailing 52 weeks (364 calendar days, current included)</t>
        </is>
      </c>
      <c r="G18" s="30" t="inlineStr">
        <is>
          <t>DOP/USD</t>
        </is>
      </c>
      <c r="H18" s="30" t="inlineStr">
        <is>
          <t>Daily</t>
        </is>
      </c>
      <c r="I18" s="30" t="inlineStr">
        <is>
          <t>Date; Currency; Rate Type</t>
        </is>
      </c>
      <c r="J18" s="30" t="inlineStr">
        <is>
          <t>Daily exchange rate history</t>
        </is>
      </c>
      <c r="K18" s="30" t="inlineStr">
        <is>
          <t>BCRD — Histórico diario de tasas (validated 2026-10-23)</t>
        </is>
      </c>
      <c r="L18" s="30" t="inlineStr">
        <is>
          <t>gold.exchange_rate_metrics</t>
        </is>
      </c>
      <c r="M18" s="30" t="inlineStr">
        <is>
          <t>FX Market</t>
        </is>
      </c>
      <c r="N18" s="30" t="inlineStr">
        <is>
          <t>MVP</t>
        </is>
      </c>
      <c r="O18" s="30" t="inlineStr">
        <is>
          <t>Validated</t>
        </is>
      </c>
      <c r="P18" s="30" t="inlineStr">
        <is>
          <t>D4 NULL until 52 weeks of history exist (first full value Sep-2022); is_full_window flag.</t>
        </is>
      </c>
    </row>
    <row r="19">
      <c r="A19" s="30" t="inlineStr">
        <is>
          <t>FX-009</t>
        </is>
      </c>
      <c r="B19" s="30" t="inlineStr">
        <is>
          <t>Foreign Exchange</t>
        </is>
      </c>
      <c r="C19" s="30" t="inlineStr">
        <is>
          <t>How is the Dominican peso performing against the U.S. dollar?</t>
        </is>
      </c>
      <c r="D19" s="30" t="inlineStr">
        <is>
          <t>52-Week Low</t>
        </is>
      </c>
      <c r="E19" s="30" t="inlineStr">
        <is>
          <t>Lowest exchange rate in the trailing 52-week window.</t>
        </is>
      </c>
      <c r="F19" s="30" t="inlineStr">
        <is>
          <t>MIN(rate) over trailing 52 weeks (364 calendar days, current included)</t>
        </is>
      </c>
      <c r="G19" s="30" t="inlineStr">
        <is>
          <t>DOP/USD</t>
        </is>
      </c>
      <c r="H19" s="30" t="inlineStr">
        <is>
          <t>Daily</t>
        </is>
      </c>
      <c r="I19" s="30" t="inlineStr">
        <is>
          <t>Date; Currency; Rate Type</t>
        </is>
      </c>
      <c r="J19" s="30" t="inlineStr">
        <is>
          <t>Daily exchange rate history</t>
        </is>
      </c>
      <c r="K19" s="30" t="inlineStr">
        <is>
          <t>BCRD — Histórico diario de tasas (validated 2026-10-23)</t>
        </is>
      </c>
      <c r="L19" s="30" t="inlineStr">
        <is>
          <t>gold.exchange_rate_metrics</t>
        </is>
      </c>
      <c r="M19" s="30" t="inlineStr">
        <is>
          <t>FX Market</t>
        </is>
      </c>
      <c r="N19" s="30" t="inlineStr">
        <is>
          <t>MVP</t>
        </is>
      </c>
      <c r="O19" s="30" t="inlineStr">
        <is>
          <t>Validated</t>
        </is>
      </c>
      <c r="P19" s="30" t="inlineStr">
        <is>
          <t>D4 NULL until 52 weeks of history exist (first full value Sep-2022); is_full_window flag.</t>
        </is>
      </c>
    </row>
    <row r="20">
      <c r="A20" s="30" t="inlineStr">
        <is>
          <t>MON-001</t>
        </is>
      </c>
      <c r="B20" s="30" t="inlineStr">
        <is>
          <t>Monetary Policy</t>
        </is>
      </c>
      <c r="C20" s="30" t="inlineStr">
        <is>
          <t>How has monetary policy evolved relative to inflation?</t>
        </is>
      </c>
      <c r="D20" s="30" t="inlineStr">
        <is>
          <t>Monetary Policy Rate</t>
        </is>
      </c>
      <c r="E20" s="30" t="inlineStr">
        <is>
          <t>Official monetary policy reference rate.</t>
        </is>
      </c>
      <c r="F20" s="30" t="inlineStr">
        <is>
          <t>Published rate</t>
        </is>
      </c>
      <c r="G20" s="30" t="inlineStr">
        <is>
          <t>%</t>
        </is>
      </c>
      <c r="H20" s="30" t="inlineStr">
        <is>
          <t>Monthly / Event-based</t>
        </is>
      </c>
      <c r="I20" s="30" t="inlineStr">
        <is>
          <t>Date</t>
        </is>
      </c>
      <c r="J20" s="30" t="inlineStr">
        <is>
          <t>Policy rate</t>
        </is>
      </c>
      <c r="K20" s="30" t="inlineStr">
        <is>
          <t>BCRD (to validate)</t>
        </is>
      </c>
      <c r="L20" s="30" t="inlineStr">
        <is>
          <t>gold.monetary_policy_metrics</t>
        </is>
      </c>
      <c r="M20" s="30" t="inlineStr">
        <is>
          <t>Monetary Policy</t>
        </is>
      </c>
      <c r="N20" s="30" t="inlineStr">
        <is>
          <t>MVP</t>
        </is>
      </c>
      <c r="O20" s="30" t="inlineStr">
        <is>
          <t>Proposed</t>
        </is>
      </c>
      <c r="P20" s="30" t="str"/>
    </row>
    <row r="21">
      <c r="A21" s="30" t="inlineStr">
        <is>
          <t>MON-002</t>
        </is>
      </c>
      <c r="B21" s="30" t="inlineStr">
        <is>
          <t>Monetary Policy</t>
        </is>
      </c>
      <c r="C21" s="30" t="inlineStr">
        <is>
          <t>How has monetary policy evolved relative to inflation?</t>
        </is>
      </c>
      <c r="D21" s="30" t="inlineStr">
        <is>
          <t>Policy Rate Change</t>
        </is>
      </c>
      <c r="E21" s="30" t="inlineStr">
        <is>
          <t>Change in the policy rate from the previous observation, expressed in basis points.</t>
        </is>
      </c>
      <c r="F21" s="30" t="inlineStr">
        <is>
          <t>(Rate_t - Rate_t-1) * 100</t>
        </is>
      </c>
      <c r="G21" s="30" t="inlineStr">
        <is>
          <t>Basis Points</t>
        </is>
      </c>
      <c r="H21" s="30" t="inlineStr">
        <is>
          <t>Event-based</t>
        </is>
      </c>
      <c r="I21" s="30" t="inlineStr">
        <is>
          <t>Date</t>
        </is>
      </c>
      <c r="J21" s="30" t="inlineStr">
        <is>
          <t>Current and prior policy rate</t>
        </is>
      </c>
      <c r="K21" s="30" t="inlineStr">
        <is>
          <t>BCRD (to validate)</t>
        </is>
      </c>
      <c r="L21" s="30" t="inlineStr">
        <is>
          <t>gold.monetary_policy_metrics</t>
        </is>
      </c>
      <c r="M21" s="30" t="inlineStr">
        <is>
          <t>Monetary Policy</t>
        </is>
      </c>
      <c r="N21" s="30" t="inlineStr">
        <is>
          <t>MVP</t>
        </is>
      </c>
      <c r="O21" s="30" t="inlineStr">
        <is>
          <t>Proposed</t>
        </is>
      </c>
      <c r="P21" s="30" t="str"/>
    </row>
    <row r="22">
      <c r="A22" s="30" t="inlineStr">
        <is>
          <t>MON-003</t>
        </is>
      </c>
      <c r="B22" s="30" t="inlineStr">
        <is>
          <t>Monetary Policy</t>
        </is>
      </c>
      <c r="C22" s="30" t="inlineStr">
        <is>
          <t>How has monetary policy evolved relative to inflation?</t>
        </is>
      </c>
      <c r="D22" s="30" t="inlineStr">
        <is>
          <t>Policy Rate YTD Change</t>
        </is>
      </c>
      <c r="E22" s="30" t="inlineStr">
        <is>
          <t>Cumulative policy-rate change versus the final observation of the prior year.</t>
        </is>
      </c>
      <c r="F22" s="30" t="inlineStr">
        <is>
          <t>(Rate_t - Rate_last_prev_year) * 100</t>
        </is>
      </c>
      <c r="G22" s="30" t="inlineStr">
        <is>
          <t>Basis Points</t>
        </is>
      </c>
      <c r="H22" s="30" t="inlineStr">
        <is>
          <t>Monthly / Event-based</t>
        </is>
      </c>
      <c r="I22" s="30" t="inlineStr">
        <is>
          <t>Date</t>
        </is>
      </c>
      <c r="J22" s="30" t="inlineStr">
        <is>
          <t>Current and prior-year-end policy rate</t>
        </is>
      </c>
      <c r="K22" s="30" t="inlineStr">
        <is>
          <t>BCRD (to validate)</t>
        </is>
      </c>
      <c r="L22" s="30" t="inlineStr">
        <is>
          <t>gold.monetary_policy_metrics</t>
        </is>
      </c>
      <c r="M22" s="30" t="inlineStr">
        <is>
          <t>Monetary Policy</t>
        </is>
      </c>
      <c r="N22" s="30" t="inlineStr">
        <is>
          <t>MVP</t>
        </is>
      </c>
      <c r="O22" s="30" t="inlineStr">
        <is>
          <t>Proposed</t>
        </is>
      </c>
      <c r="P22" s="30" t="str"/>
    </row>
    <row r="23">
      <c r="A23" s="30" t="inlineStr">
        <is>
          <t>MON-004</t>
        </is>
      </c>
      <c r="B23" s="30" t="inlineStr">
        <is>
          <t>Monetary Policy</t>
        </is>
      </c>
      <c r="C23" s="30" t="inlineStr">
        <is>
          <t>How has monetary policy evolved relative to inflation?</t>
        </is>
      </c>
      <c r="D23" s="30" t="inlineStr">
        <is>
          <t>Inflation–Policy Rate Spread</t>
        </is>
      </c>
      <c r="E23" s="30" t="inlineStr">
        <is>
          <t>Difference between the policy rate and YoY inflation.</t>
        </is>
      </c>
      <c r="F23" s="30" t="inlineStr">
        <is>
          <t>Policy Rate - YoY Inflation</t>
        </is>
      </c>
      <c r="G23" s="30" t="inlineStr">
        <is>
          <t>Percentage Points</t>
        </is>
      </c>
      <c r="H23" s="30" t="inlineStr">
        <is>
          <t>Monthly</t>
        </is>
      </c>
      <c r="I23" s="30" t="inlineStr">
        <is>
          <t>Date</t>
        </is>
      </c>
      <c r="J23" s="30" t="inlineStr">
        <is>
          <t>Policy rate; YoY inflation</t>
        </is>
      </c>
      <c r="K23" s="30" t="inlineStr">
        <is>
          <t>BCRD (to validate)</t>
        </is>
      </c>
      <c r="L23" s="30" t="inlineStr">
        <is>
          <t>gold.monetary_policy_metrics</t>
        </is>
      </c>
      <c r="M23" s="30" t="inlineStr">
        <is>
          <t>Monetary Policy</t>
        </is>
      </c>
      <c r="N23" s="30" t="inlineStr">
        <is>
          <t>MVP</t>
        </is>
      </c>
      <c r="O23" s="30" t="inlineStr">
        <is>
          <t>Proposed</t>
        </is>
      </c>
      <c r="P23" s="30" t="str"/>
    </row>
    <row r="24">
      <c r="A24" s="30" t="inlineStr">
        <is>
          <t>MON-005</t>
        </is>
      </c>
      <c r="B24" s="30" t="inlineStr">
        <is>
          <t>Monetary Policy</t>
        </is>
      </c>
      <c r="C24" s="30" t="inlineStr">
        <is>
          <t>How has monetary policy evolved relative to inflation?</t>
        </is>
      </c>
      <c r="D24" s="30" t="inlineStr">
        <is>
          <t>Real Policy Rate Proxy</t>
        </is>
      </c>
      <c r="E24" s="30" t="inlineStr">
        <is>
          <t>Simple ex-post proxy for the policy rate adjusted by YoY inflation.</t>
        </is>
      </c>
      <c r="F24" s="30" t="inlineStr">
        <is>
          <t>Policy Rate - YoY Inflation</t>
        </is>
      </c>
      <c r="G24" s="30" t="inlineStr">
        <is>
          <t>% / Percentage Points</t>
        </is>
      </c>
      <c r="H24" s="30" t="inlineStr">
        <is>
          <t>Monthly</t>
        </is>
      </c>
      <c r="I24" s="30" t="inlineStr">
        <is>
          <t>Date</t>
        </is>
      </c>
      <c r="J24" s="30" t="inlineStr">
        <is>
          <t>Policy rate; YoY inflation</t>
        </is>
      </c>
      <c r="K24" s="30" t="inlineStr">
        <is>
          <t>BCRD (to validate)</t>
        </is>
      </c>
      <c r="L24" s="30" t="inlineStr">
        <is>
          <t>gold.monetary_policy_metrics</t>
        </is>
      </c>
      <c r="M24" s="30" t="inlineStr">
        <is>
          <t>Monetary Policy</t>
        </is>
      </c>
      <c r="N24" s="30" t="inlineStr">
        <is>
          <t>MVP</t>
        </is>
      </c>
      <c r="O24" s="30" t="inlineStr">
        <is>
          <t>Proposed</t>
        </is>
      </c>
      <c r="P24" s="30" t="inlineStr">
        <is>
          <t>Label explicitly as a proxy; not a full expected real-rate measure.</t>
        </is>
      </c>
    </row>
    <row r="25">
      <c r="A25" s="30" t="inlineStr">
        <is>
          <t>FUEL-001</t>
        </is>
      </c>
      <c r="B25" s="30" t="inlineStr">
        <is>
          <t>Fuel Market</t>
        </is>
      </c>
      <c r="C25" s="30" t="inlineStr">
        <is>
          <t>How are fuel prices evolving in the Dominican Republic?</t>
        </is>
      </c>
      <c r="D25" s="30" t="inlineStr">
        <is>
          <t>Current Fuel Price</t>
        </is>
      </c>
      <c r="E25" s="30" t="inlineStr">
        <is>
          <t>Latest observed official/reference retail fuel price.</t>
        </is>
      </c>
      <c r="F25" s="30" t="inlineStr">
        <is>
          <t>Latest available price</t>
        </is>
      </c>
      <c r="G25" s="30" t="inlineStr">
        <is>
          <t>DOP/gallon</t>
        </is>
      </c>
      <c r="H25" s="30" t="inlineStr">
        <is>
          <t>Weekly</t>
        </is>
      </c>
      <c r="I25" s="30" t="inlineStr">
        <is>
          <t>Price week; Fuel type</t>
        </is>
      </c>
      <c r="J25" s="30" t="inlineStr">
        <is>
          <t>Fuel type; date; price; unit</t>
        </is>
      </c>
      <c r="K25" s="30" t="inlineStr">
        <is>
          <t>MICM — precios-de-combustibles-2010-2026 XLSX (validated 2026-10-23)</t>
        </is>
      </c>
      <c r="L25" s="30" t="inlineStr">
        <is>
          <t>gold.fuel_price_metrics</t>
        </is>
      </c>
      <c r="M25" s="30" t="inlineStr">
        <is>
          <t>Fuel &amp; Oil Market</t>
        </is>
      </c>
      <c r="N25" s="30" t="inlineStr">
        <is>
          <t>MVP</t>
        </is>
      </c>
      <c r="O25" s="30" t="inlineStr">
        <is>
          <t>Validated</t>
        </is>
      </c>
      <c r="P25" s="30" t="inlineStr">
        <is>
          <t>XLSX authoritative (CSV = XLSX rounded to whole pesos). Zero = not published.</t>
        </is>
      </c>
    </row>
    <row r="26">
      <c r="A26" s="30" t="inlineStr">
        <is>
          <t>FUEL-002</t>
        </is>
      </c>
      <c r="B26" s="30" t="inlineStr">
        <is>
          <t>Fuel Market</t>
        </is>
      </c>
      <c r="C26" s="30" t="inlineStr">
        <is>
          <t>How are fuel prices evolving in the Dominican Republic?</t>
        </is>
      </c>
      <c r="D26" s="30" t="inlineStr">
        <is>
          <t>Previous Week Price</t>
        </is>
      </c>
      <c r="E26" s="30" t="inlineStr">
        <is>
          <t>Fuel price from the prior weekly observation.</t>
        </is>
      </c>
      <c r="F26" s="30" t="inlineStr">
        <is>
          <t>Prior weekly price</t>
        </is>
      </c>
      <c r="G26" s="30" t="inlineStr">
        <is>
          <t>DOP/gallon</t>
        </is>
      </c>
      <c r="H26" s="30" t="inlineStr">
        <is>
          <t>Weekly</t>
        </is>
      </c>
      <c r="I26" s="30" t="inlineStr">
        <is>
          <t>Price week; Fuel type</t>
        </is>
      </c>
      <c r="J26" s="30" t="inlineStr">
        <is>
          <t>Fuel type; date; price; unit</t>
        </is>
      </c>
      <c r="K26" s="30" t="inlineStr">
        <is>
          <t>MICM — precios-de-combustibles-2010-2026 XLSX (validated 2026-10-23)</t>
        </is>
      </c>
      <c r="L26" s="30" t="inlineStr">
        <is>
          <t>gold.fuel_price_metrics</t>
        </is>
      </c>
      <c r="M26" s="30" t="inlineStr">
        <is>
          <t>Fuel &amp; Oil Market</t>
        </is>
      </c>
      <c r="N26" s="30" t="inlineStr">
        <is>
          <t>MVP</t>
        </is>
      </c>
      <c r="O26" s="30" t="inlineStr">
        <is>
          <t>Validated</t>
        </is>
      </c>
      <c r="P26" s="30" t="inlineStr">
        <is>
          <t>XLSX authoritative (CSV = XLSX rounded to whole pesos). Zero = not published.</t>
        </is>
      </c>
    </row>
    <row r="27">
      <c r="A27" s="30" t="inlineStr">
        <is>
          <t>FUEL-003</t>
        </is>
      </c>
      <c r="B27" s="30" t="inlineStr">
        <is>
          <t>Fuel Market</t>
        </is>
      </c>
      <c r="C27" s="30" t="inlineStr">
        <is>
          <t>How are fuel prices evolving in the Dominican Republic?</t>
        </is>
      </c>
      <c r="D27" s="30" t="inlineStr">
        <is>
          <t>Weekly Price Change</t>
        </is>
      </c>
      <c r="E27" s="30" t="inlineStr">
        <is>
          <t>Absolute change versus previous week.</t>
        </is>
      </c>
      <c r="F27" s="30" t="inlineStr">
        <is>
          <t>Price_t - Price_t-1</t>
        </is>
      </c>
      <c r="G27" s="30" t="inlineStr">
        <is>
          <t>DOP/gallon</t>
        </is>
      </c>
      <c r="H27" s="30" t="inlineStr">
        <is>
          <t>Weekly</t>
        </is>
      </c>
      <c r="I27" s="30" t="inlineStr">
        <is>
          <t>Price week; Fuel type</t>
        </is>
      </c>
      <c r="J27" s="30" t="inlineStr">
        <is>
          <t>Fuel type; date; price; unit</t>
        </is>
      </c>
      <c r="K27" s="30" t="inlineStr">
        <is>
          <t>MICM — precios-de-combustibles-2010-2026 XLSX (validated 2026-10-23)</t>
        </is>
      </c>
      <c r="L27" s="30" t="inlineStr">
        <is>
          <t>gold.fuel_price_metrics</t>
        </is>
      </c>
      <c r="M27" s="30" t="inlineStr">
        <is>
          <t>Fuel &amp; Oil Market</t>
        </is>
      </c>
      <c r="N27" s="30" t="inlineStr">
        <is>
          <t>MVP</t>
        </is>
      </c>
      <c r="O27" s="30" t="inlineStr">
        <is>
          <t>Validated</t>
        </is>
      </c>
      <c r="P27" s="30" t="inlineStr">
        <is>
          <t>XLSX authoritative (CSV = XLSX rounded to whole pesos). Zero = not published.</t>
        </is>
      </c>
    </row>
    <row r="28">
      <c r="A28" s="30" t="inlineStr">
        <is>
          <t>FUEL-004</t>
        </is>
      </c>
      <c r="B28" s="30" t="inlineStr">
        <is>
          <t>Fuel Market</t>
        </is>
      </c>
      <c r="C28" s="30" t="inlineStr">
        <is>
          <t>How are fuel prices evolving in the Dominican Republic?</t>
        </is>
      </c>
      <c r="D28" s="30" t="inlineStr">
        <is>
          <t>Weekly Price Change %</t>
        </is>
      </c>
      <c r="E28" s="30" t="inlineStr">
        <is>
          <t>Percentage change versus previous week.</t>
        </is>
      </c>
      <c r="F28" s="30" t="inlineStr">
        <is>
          <t>(Price_t / Price_t-1 - 1) * 100</t>
        </is>
      </c>
      <c r="G28" s="30" t="inlineStr">
        <is>
          <t>%</t>
        </is>
      </c>
      <c r="H28" s="30" t="inlineStr">
        <is>
          <t>Weekly</t>
        </is>
      </c>
      <c r="I28" s="30" t="inlineStr">
        <is>
          <t>Price week; Fuel type</t>
        </is>
      </c>
      <c r="J28" s="30" t="inlineStr">
        <is>
          <t>Fuel type; date; price; unit</t>
        </is>
      </c>
      <c r="K28" s="30" t="inlineStr">
        <is>
          <t>MICM — precios-de-combustibles-2010-2026 XLSX (validated 2026-10-23)</t>
        </is>
      </c>
      <c r="L28" s="30" t="inlineStr">
        <is>
          <t>gold.fuel_price_metrics</t>
        </is>
      </c>
      <c r="M28" s="30" t="inlineStr">
        <is>
          <t>Fuel &amp; Oil Market</t>
        </is>
      </c>
      <c r="N28" s="30" t="inlineStr">
        <is>
          <t>MVP</t>
        </is>
      </c>
      <c r="O28" s="30" t="inlineStr">
        <is>
          <t>Validated</t>
        </is>
      </c>
      <c r="P28" s="30" t="inlineStr">
        <is>
          <t>XLSX authoritative (CSV = XLSX rounded to whole pesos). Zero = not published.</t>
        </is>
      </c>
    </row>
    <row r="29">
      <c r="A29" s="30" t="inlineStr">
        <is>
          <t>FUEL-005</t>
        </is>
      </c>
      <c r="B29" s="30" t="inlineStr">
        <is>
          <t>Fuel Market</t>
        </is>
      </c>
      <c r="C29" s="30" t="inlineStr">
        <is>
          <t>How are fuel prices evolving in the Dominican Republic?</t>
        </is>
      </c>
      <c r="D29" s="30" t="inlineStr">
        <is>
          <t>Monthly Price Change %</t>
        </is>
      </c>
      <c r="E29" s="30" t="inlineStr">
        <is>
          <t>Percentage change versus comparable prior-month price.</t>
        </is>
      </c>
      <c r="F29" s="30" t="inlineStr">
        <is>
          <t>(Price_t / Price_prev_month - 1) * 100</t>
        </is>
      </c>
      <c r="G29" s="30" t="inlineStr">
        <is>
          <t>%</t>
        </is>
      </c>
      <c r="H29" s="30" t="inlineStr">
        <is>
          <t>Weekly</t>
        </is>
      </c>
      <c r="I29" s="30" t="inlineStr">
        <is>
          <t>Price week; Fuel type</t>
        </is>
      </c>
      <c r="J29" s="30" t="inlineStr">
        <is>
          <t>Fuel type; date; price; unit</t>
        </is>
      </c>
      <c r="K29" s="30" t="inlineStr">
        <is>
          <t>MICM — precios-de-combustibles-2010-2026 XLSX (validated 2026-10-23)</t>
        </is>
      </c>
      <c r="L29" s="30" t="inlineStr">
        <is>
          <t>gold.fuel_price_metrics</t>
        </is>
      </c>
      <c r="M29" s="30" t="inlineStr">
        <is>
          <t>Fuel &amp; Oil Market</t>
        </is>
      </c>
      <c r="N29" s="30" t="inlineStr">
        <is>
          <t>MVP</t>
        </is>
      </c>
      <c r="O29" s="30" t="inlineStr">
        <is>
          <t>Validated</t>
        </is>
      </c>
      <c r="P29" s="30" t="inlineStr">
        <is>
          <t>XLSX authoritative (CSV = XLSX rounded to whole pesos). Zero = not published. vs last published week of the previous month.</t>
        </is>
      </c>
    </row>
    <row r="30">
      <c r="A30" s="30" t="inlineStr">
        <is>
          <t>FUEL-006</t>
        </is>
      </c>
      <c r="B30" s="30" t="inlineStr">
        <is>
          <t>Fuel Market</t>
        </is>
      </c>
      <c r="C30" s="30" t="inlineStr">
        <is>
          <t>How are fuel prices evolving in the Dominican Republic?</t>
        </is>
      </c>
      <c r="D30" s="30" t="inlineStr">
        <is>
          <t>YoY Price Change %</t>
        </is>
      </c>
      <c r="E30" s="30" t="inlineStr">
        <is>
          <t>Percentage change versus comparable period one year earlier.</t>
        </is>
      </c>
      <c r="F30" s="30" t="inlineStr">
        <is>
          <t>(Price_t / Price_t-1year - 1) * 100</t>
        </is>
      </c>
      <c r="G30" s="30" t="inlineStr">
        <is>
          <t>%</t>
        </is>
      </c>
      <c r="H30" s="30" t="inlineStr">
        <is>
          <t>Weekly</t>
        </is>
      </c>
      <c r="I30" s="30" t="inlineStr">
        <is>
          <t>Price week; Fuel type</t>
        </is>
      </c>
      <c r="J30" s="30" t="inlineStr">
        <is>
          <t>Fuel type; date; price; unit</t>
        </is>
      </c>
      <c r="K30" s="30" t="inlineStr">
        <is>
          <t>MICM — precios-de-combustibles-2010-2026 XLSX (validated 2026-10-23)</t>
        </is>
      </c>
      <c r="L30" s="30" t="inlineStr">
        <is>
          <t>gold.fuel_price_metrics</t>
        </is>
      </c>
      <c r="M30" s="30" t="inlineStr">
        <is>
          <t>Fuel &amp; Oil Market</t>
        </is>
      </c>
      <c r="N30" s="30" t="inlineStr">
        <is>
          <t>MVP</t>
        </is>
      </c>
      <c r="O30" s="30" t="inlineStr">
        <is>
          <t>Validated</t>
        </is>
      </c>
      <c r="P30" s="30" t="inlineStr">
        <is>
          <t>XLSX authoritative (CSV = XLSX rounded to whole pesos). Zero = not published. vs the latest week starting 364–371 days earlier; NULL otherwise.</t>
        </is>
      </c>
    </row>
    <row r="31">
      <c r="A31" s="30" t="inlineStr">
        <is>
          <t>FUEL-007</t>
        </is>
      </c>
      <c r="B31" s="30" t="inlineStr">
        <is>
          <t>Fuel Market</t>
        </is>
      </c>
      <c r="C31" s="30" t="inlineStr">
        <is>
          <t>How are fuel prices evolving in the Dominican Republic?</t>
        </is>
      </c>
      <c r="D31" s="30" t="inlineStr">
        <is>
          <t>YTD Price Change %</t>
        </is>
      </c>
      <c r="E31" s="30" t="inlineStr">
        <is>
          <t>Percentage change versus final observation of prior year.</t>
        </is>
      </c>
      <c r="F31" s="30" t="inlineStr">
        <is>
          <t>(Price_t / Price_last_prev_year - 1) * 100</t>
        </is>
      </c>
      <c r="G31" s="30" t="inlineStr">
        <is>
          <t>%</t>
        </is>
      </c>
      <c r="H31" s="30" t="inlineStr">
        <is>
          <t>Weekly</t>
        </is>
      </c>
      <c r="I31" s="30" t="inlineStr">
        <is>
          <t>Price week; Fuel type</t>
        </is>
      </c>
      <c r="J31" s="30" t="inlineStr">
        <is>
          <t>Fuel type; date; price; unit</t>
        </is>
      </c>
      <c r="K31" s="30" t="inlineStr">
        <is>
          <t>MICM — precios-de-combustibles-2010-2026 XLSX (validated 2026-10-23)</t>
        </is>
      </c>
      <c r="L31" s="30" t="inlineStr">
        <is>
          <t>gold.fuel_price_metrics</t>
        </is>
      </c>
      <c r="M31" s="30" t="inlineStr">
        <is>
          <t>Fuel &amp; Oil Market</t>
        </is>
      </c>
      <c r="N31" s="30" t="inlineStr">
        <is>
          <t>MVP</t>
        </is>
      </c>
      <c r="O31" s="30" t="inlineStr">
        <is>
          <t>Validated</t>
        </is>
      </c>
      <c r="P31" s="30" t="inlineStr">
        <is>
          <t>XLSX authoritative (CSV = XLSX rounded to whole pesos). Zero = not published. vs last published week of the previous year.</t>
        </is>
      </c>
    </row>
    <row r="32">
      <c r="A32" s="30" t="inlineStr">
        <is>
          <t>FUEL-008</t>
        </is>
      </c>
      <c r="B32" s="30" t="inlineStr">
        <is>
          <t>Fuel Market</t>
        </is>
      </c>
      <c r="C32" s="30" t="inlineStr">
        <is>
          <t>How are fuel prices evolving in the Dominican Republic?</t>
        </is>
      </c>
      <c r="D32" s="30" t="inlineStr">
        <is>
          <t>4-Week Moving Average</t>
        </is>
      </c>
      <c r="E32" s="30" t="inlineStr">
        <is>
          <t>Average price over trailing four weekly observations.</t>
        </is>
      </c>
      <c r="F32" s="30" t="inlineStr">
        <is>
          <t>AVG(price) trailing 4 observations</t>
        </is>
      </c>
      <c r="G32" s="30" t="inlineStr">
        <is>
          <t>DOP/gallon</t>
        </is>
      </c>
      <c r="H32" s="30" t="inlineStr">
        <is>
          <t>Weekly</t>
        </is>
      </c>
      <c r="I32" s="30" t="inlineStr">
        <is>
          <t>Price week; Fuel type</t>
        </is>
      </c>
      <c r="J32" s="30" t="inlineStr">
        <is>
          <t>Fuel type; date; price; unit</t>
        </is>
      </c>
      <c r="K32" s="30" t="inlineStr">
        <is>
          <t>MICM — precios-de-combustibles-2010-2026 XLSX (validated 2026-10-23)</t>
        </is>
      </c>
      <c r="L32" s="30" t="inlineStr">
        <is>
          <t>gold.fuel_price_metrics</t>
        </is>
      </c>
      <c r="M32" s="30" t="inlineStr">
        <is>
          <t>Fuel &amp; Oil Market</t>
        </is>
      </c>
      <c r="N32" s="30" t="inlineStr">
        <is>
          <t>MVP</t>
        </is>
      </c>
      <c r="O32" s="30" t="inlineStr">
        <is>
          <t>Validated</t>
        </is>
      </c>
      <c r="P32" s="30" t="inlineStr">
        <is>
          <t>XLSX authoritative (CSV = XLSX rounded to whole pesos). Zero = not published. NULL until 4 weeks of history (D4).</t>
        </is>
      </c>
    </row>
    <row r="33">
      <c r="A33" s="30" t="inlineStr">
        <is>
          <t>FUEL-009</t>
        </is>
      </c>
      <c r="B33" s="30" t="inlineStr">
        <is>
          <t>Fuel Market</t>
        </is>
      </c>
      <c r="C33" s="30" t="inlineStr">
        <is>
          <t>How are fuel prices evolving in the Dominican Republic?</t>
        </is>
      </c>
      <c r="D33" s="30" t="inlineStr">
        <is>
          <t>12-Week Moving Average</t>
        </is>
      </c>
      <c r="E33" s="30" t="inlineStr">
        <is>
          <t>Average price over trailing twelve weekly observations.</t>
        </is>
      </c>
      <c r="F33" s="30" t="inlineStr">
        <is>
          <t>AVG(price) trailing 12 observations</t>
        </is>
      </c>
      <c r="G33" s="30" t="inlineStr">
        <is>
          <t>DOP/gallon</t>
        </is>
      </c>
      <c r="H33" s="30" t="inlineStr">
        <is>
          <t>Weekly</t>
        </is>
      </c>
      <c r="I33" s="30" t="inlineStr">
        <is>
          <t>Price week; Fuel type</t>
        </is>
      </c>
      <c r="J33" s="30" t="inlineStr">
        <is>
          <t>Fuel type; date; price; unit</t>
        </is>
      </c>
      <c r="K33" s="30" t="inlineStr">
        <is>
          <t>MICM — precios-de-combustibles-2010-2026 XLSX (validated 2026-10-23)</t>
        </is>
      </c>
      <c r="L33" s="30" t="inlineStr">
        <is>
          <t>gold.fuel_price_metrics</t>
        </is>
      </c>
      <c r="M33" s="30" t="inlineStr">
        <is>
          <t>Fuel &amp; Oil Market</t>
        </is>
      </c>
      <c r="N33" s="30" t="inlineStr">
        <is>
          <t>MVP</t>
        </is>
      </c>
      <c r="O33" s="30" t="inlineStr">
        <is>
          <t>Validated</t>
        </is>
      </c>
      <c r="P33" s="30" t="inlineStr">
        <is>
          <t>XLSX authoritative (CSV = XLSX rounded to whole pesos). Zero = not published. NULL until 12 weeks of history (D4).</t>
        </is>
      </c>
    </row>
    <row r="34">
      <c r="A34" s="30" t="inlineStr">
        <is>
          <t>FUEL-010</t>
        </is>
      </c>
      <c r="B34" s="30" t="inlineStr">
        <is>
          <t>Fuel Market</t>
        </is>
      </c>
      <c r="C34" s="30" t="inlineStr">
        <is>
          <t>How are fuel prices evolving in the Dominican Republic?</t>
        </is>
      </c>
      <c r="D34" s="30" t="inlineStr">
        <is>
          <t>52-Week High</t>
        </is>
      </c>
      <c r="E34" s="30" t="inlineStr">
        <is>
          <t>Maximum fuel price in trailing 52 weeks.</t>
        </is>
      </c>
      <c r="F34" s="30" t="inlineStr">
        <is>
          <t>MAX(price) trailing 52 weeks</t>
        </is>
      </c>
      <c r="G34" s="30" t="inlineStr">
        <is>
          <t>DOP/gallon</t>
        </is>
      </c>
      <c r="H34" s="30" t="inlineStr">
        <is>
          <t>Weekly</t>
        </is>
      </c>
      <c r="I34" s="30" t="inlineStr">
        <is>
          <t>Price week; Fuel type</t>
        </is>
      </c>
      <c r="J34" s="30" t="inlineStr">
        <is>
          <t>Fuel type; date; price; unit</t>
        </is>
      </c>
      <c r="K34" s="30" t="inlineStr">
        <is>
          <t>MICM — precios-de-combustibles-2010-2026 XLSX (validated 2026-10-23)</t>
        </is>
      </c>
      <c r="L34" s="30" t="inlineStr">
        <is>
          <t>gold.fuel_price_metrics</t>
        </is>
      </c>
      <c r="M34" s="30" t="inlineStr">
        <is>
          <t>Fuel &amp; Oil Market</t>
        </is>
      </c>
      <c r="N34" s="30" t="inlineStr">
        <is>
          <t>MVP</t>
        </is>
      </c>
      <c r="O34" s="30" t="inlineStr">
        <is>
          <t>Validated</t>
        </is>
      </c>
      <c r="P34" s="30" t="inlineStr">
        <is>
          <t>XLSX authoritative (CSV = XLSX rounded to whole pesos). Zero = not published. Trailing 364 days; NULL with is_full_window_52w = false until a full year.</t>
        </is>
      </c>
    </row>
    <row r="35">
      <c r="A35" s="30" t="inlineStr">
        <is>
          <t>FUEL-011</t>
        </is>
      </c>
      <c r="B35" s="30" t="inlineStr">
        <is>
          <t>Fuel Market</t>
        </is>
      </c>
      <c r="C35" s="30" t="inlineStr">
        <is>
          <t>How are fuel prices evolving in the Dominican Republic?</t>
        </is>
      </c>
      <c r="D35" s="30" t="inlineStr">
        <is>
          <t>52-Week Low</t>
        </is>
      </c>
      <c r="E35" s="30" t="inlineStr">
        <is>
          <t>Minimum fuel price in trailing 52 weeks.</t>
        </is>
      </c>
      <c r="F35" s="30" t="inlineStr">
        <is>
          <t>MIN(price) trailing 52 weeks</t>
        </is>
      </c>
      <c r="G35" s="30" t="inlineStr">
        <is>
          <t>DOP/gallon</t>
        </is>
      </c>
      <c r="H35" s="30" t="inlineStr">
        <is>
          <t>Weekly</t>
        </is>
      </c>
      <c r="I35" s="30" t="inlineStr">
        <is>
          <t>Price week; Fuel type</t>
        </is>
      </c>
      <c r="J35" s="30" t="inlineStr">
        <is>
          <t>Fuel type; date; price; unit</t>
        </is>
      </c>
      <c r="K35" s="30" t="inlineStr">
        <is>
          <t>MICM — precios-de-combustibles-2010-2026 XLSX (validated 2026-10-23)</t>
        </is>
      </c>
      <c r="L35" s="30" t="inlineStr">
        <is>
          <t>gold.fuel_price_metrics</t>
        </is>
      </c>
      <c r="M35" s="30" t="inlineStr">
        <is>
          <t>Fuel &amp; Oil Market</t>
        </is>
      </c>
      <c r="N35" s="30" t="inlineStr">
        <is>
          <t>MVP</t>
        </is>
      </c>
      <c r="O35" s="30" t="inlineStr">
        <is>
          <t>Validated</t>
        </is>
      </c>
      <c r="P35" s="30" t="inlineStr">
        <is>
          <t>XLSX authoritative (CSV = XLSX rounded to whole pesos). Zero = not published. Trailing 364 days; NULL with is_full_window_52w = false until a full year.</t>
        </is>
      </c>
    </row>
    <row r="36">
      <c r="A36" s="30" t="inlineStr">
        <is>
          <t>FUEL-012</t>
        </is>
      </c>
      <c r="B36" s="30" t="inlineStr">
        <is>
          <t>Fuel Market</t>
        </is>
      </c>
      <c r="C36" s="30" t="inlineStr">
        <is>
          <t>How are fuel prices evolving in the Dominican Republic?</t>
        </is>
      </c>
      <c r="D36" s="30" t="inlineStr">
        <is>
          <t>Fuel Price Volatility</t>
        </is>
      </c>
      <c r="E36" s="30" t="inlineStr">
        <is>
          <t>Dispersion of periodic fuel-price changes over a defined rolling window.</t>
        </is>
      </c>
      <c r="F36" s="30" t="inlineStr">
        <is>
          <t>STDDEV(periodic returns) over configured rolling window</t>
        </is>
      </c>
      <c r="G36" s="30" t="inlineStr">
        <is>
          <t>%</t>
        </is>
      </c>
      <c r="H36" s="30" t="inlineStr">
        <is>
          <t>Weekly</t>
        </is>
      </c>
      <c r="I36" s="30" t="inlineStr">
        <is>
          <t>Price week; Fuel type</t>
        </is>
      </c>
      <c r="J36" s="30" t="inlineStr">
        <is>
          <t>Fuel type; date; price; unit</t>
        </is>
      </c>
      <c r="K36" s="30" t="inlineStr">
        <is>
          <t>MICM — precios-de-combustibles-2010-2026 XLSX (validated 2026-10-23)</t>
        </is>
      </c>
      <c r="L36" s="30" t="inlineStr">
        <is>
          <t>gold.fuel_price_metrics</t>
        </is>
      </c>
      <c r="M36" s="30" t="inlineStr">
        <is>
          <t>Fuel &amp; Oil Market</t>
        </is>
      </c>
      <c r="N36" s="30" t="inlineStr">
        <is>
          <t>MVP</t>
        </is>
      </c>
      <c r="O36" s="30" t="inlineStr">
        <is>
          <t>Validated</t>
        </is>
      </c>
      <c r="P36" s="30" t="inlineStr">
        <is>
          <t>XLSX authoritative (CSV = XLSX rounded to whole pesos). Zero = not published. Std. dev. of weekly % changes over the trailing 12 weeks.</t>
        </is>
      </c>
    </row>
    <row r="37">
      <c r="A37" s="30" t="inlineStr">
        <is>
          <t>OIL-001</t>
        </is>
      </c>
      <c r="B37" s="30" t="inlineStr">
        <is>
          <t>International Oil</t>
        </is>
      </c>
      <c r="C37" s="30" t="inlineStr">
        <is>
          <t>How are international oil prices evolving?</t>
        </is>
      </c>
      <c r="D37" s="30" t="inlineStr">
        <is>
          <t>WTI Price</t>
        </is>
      </c>
      <c r="E37" s="30" t="inlineStr">
        <is>
          <t>Reference WTI crude-oil price.</t>
        </is>
      </c>
      <c r="F37" s="30" t="inlineStr">
        <is>
          <t>Published market/reference value</t>
        </is>
      </c>
      <c r="G37" s="30" t="inlineStr">
        <is>
          <t>USD/barrel</t>
        </is>
      </c>
      <c r="H37" s="30" t="inlineStr">
        <is>
          <t>Daily</t>
        </is>
      </c>
      <c r="I37" s="30" t="inlineStr">
        <is>
          <t>Date; Benchmark</t>
        </is>
      </c>
      <c r="J37" s="30" t="inlineStr">
        <is>
          <t>Date; benchmark; price</t>
        </is>
      </c>
      <c r="K37" s="30" t="inlineStr">
        <is>
          <t>U.S. EIA / reputable market source (to validate)</t>
        </is>
      </c>
      <c r="L37" s="30" t="inlineStr">
        <is>
          <t>gold.oil_market_metrics</t>
        </is>
      </c>
      <c r="M37" s="30" t="inlineStr">
        <is>
          <t>Fuel &amp; Oil Market</t>
        </is>
      </c>
      <c r="N37" s="30" t="inlineStr">
        <is>
          <t>MVP</t>
        </is>
      </c>
      <c r="O37" s="30" t="inlineStr">
        <is>
          <t>Proposed</t>
        </is>
      </c>
      <c r="P37" s="30" t="str"/>
    </row>
    <row r="38">
      <c r="A38" s="30" t="inlineStr">
        <is>
          <t>OIL-002</t>
        </is>
      </c>
      <c r="B38" s="30" t="inlineStr">
        <is>
          <t>International Oil</t>
        </is>
      </c>
      <c r="C38" s="30" t="inlineStr">
        <is>
          <t>How are international oil prices evolving?</t>
        </is>
      </c>
      <c r="D38" s="30" t="inlineStr">
        <is>
          <t>Brent Price</t>
        </is>
      </c>
      <c r="E38" s="30" t="inlineStr">
        <is>
          <t>Reference Brent crude-oil price.</t>
        </is>
      </c>
      <c r="F38" s="30" t="inlineStr">
        <is>
          <t>Published market/reference value</t>
        </is>
      </c>
      <c r="G38" s="30" t="inlineStr">
        <is>
          <t>USD/barrel</t>
        </is>
      </c>
      <c r="H38" s="30" t="inlineStr">
        <is>
          <t>Daily</t>
        </is>
      </c>
      <c r="I38" s="30" t="inlineStr">
        <is>
          <t>Date; Benchmark</t>
        </is>
      </c>
      <c r="J38" s="30" t="inlineStr">
        <is>
          <t>Date; benchmark; price</t>
        </is>
      </c>
      <c r="K38" s="30" t="inlineStr">
        <is>
          <t>U.S. EIA / reputable market source (to validate)</t>
        </is>
      </c>
      <c r="L38" s="30" t="inlineStr">
        <is>
          <t>gold.oil_market_metrics</t>
        </is>
      </c>
      <c r="M38" s="30" t="inlineStr">
        <is>
          <t>Fuel &amp; Oil Market</t>
        </is>
      </c>
      <c r="N38" s="30" t="inlineStr">
        <is>
          <t>MVP</t>
        </is>
      </c>
      <c r="O38" s="30" t="inlineStr">
        <is>
          <t>Proposed</t>
        </is>
      </c>
      <c r="P38" s="30" t="str"/>
    </row>
    <row r="39">
      <c r="A39" s="30" t="inlineStr">
        <is>
          <t>OIL-003</t>
        </is>
      </c>
      <c r="B39" s="30" t="inlineStr">
        <is>
          <t>International Oil</t>
        </is>
      </c>
      <c r="C39" s="30" t="inlineStr">
        <is>
          <t>How are international oil prices evolving?</t>
        </is>
      </c>
      <c r="D39" s="30" t="inlineStr">
        <is>
          <t>WTI WoW %</t>
        </is>
      </c>
      <c r="E39" s="30" t="inlineStr">
        <is>
          <t>Weekly percentage change in WTI.</t>
        </is>
      </c>
      <c r="F39" s="30" t="inlineStr">
        <is>
          <t>(WTI_t / WTI_prev_week - 1) * 100</t>
        </is>
      </c>
      <c r="G39" s="30" t="inlineStr">
        <is>
          <t>%</t>
        </is>
      </c>
      <c r="H39" s="30" t="inlineStr">
        <is>
          <t>Daily</t>
        </is>
      </c>
      <c r="I39" s="30" t="inlineStr">
        <is>
          <t>Date; Benchmark</t>
        </is>
      </c>
      <c r="J39" s="30" t="inlineStr">
        <is>
          <t>Date; benchmark; price</t>
        </is>
      </c>
      <c r="K39" s="30" t="inlineStr">
        <is>
          <t>U.S. EIA / reputable market source (to validate)</t>
        </is>
      </c>
      <c r="L39" s="30" t="inlineStr">
        <is>
          <t>gold.oil_market_metrics</t>
        </is>
      </c>
      <c r="M39" s="30" t="inlineStr">
        <is>
          <t>Fuel &amp; Oil Market</t>
        </is>
      </c>
      <c r="N39" s="30" t="inlineStr">
        <is>
          <t>MVP</t>
        </is>
      </c>
      <c r="O39" s="30" t="inlineStr">
        <is>
          <t>Proposed</t>
        </is>
      </c>
      <c r="P39" s="30" t="str"/>
    </row>
    <row r="40">
      <c r="A40" s="30" t="inlineStr">
        <is>
          <t>OIL-004</t>
        </is>
      </c>
      <c r="B40" s="30" t="inlineStr">
        <is>
          <t>International Oil</t>
        </is>
      </c>
      <c r="C40" s="30" t="inlineStr">
        <is>
          <t>How are international oil prices evolving?</t>
        </is>
      </c>
      <c r="D40" s="30" t="inlineStr">
        <is>
          <t>Brent WoW %</t>
        </is>
      </c>
      <c r="E40" s="30" t="inlineStr">
        <is>
          <t>Weekly percentage change in Brent.</t>
        </is>
      </c>
      <c r="F40" s="30" t="inlineStr">
        <is>
          <t>(Brent_t / Brent_prev_week - 1) * 100</t>
        </is>
      </c>
      <c r="G40" s="30" t="inlineStr">
        <is>
          <t>%</t>
        </is>
      </c>
      <c r="H40" s="30" t="inlineStr">
        <is>
          <t>Daily</t>
        </is>
      </c>
      <c r="I40" s="30" t="inlineStr">
        <is>
          <t>Date; Benchmark</t>
        </is>
      </c>
      <c r="J40" s="30" t="inlineStr">
        <is>
          <t>Date; benchmark; price</t>
        </is>
      </c>
      <c r="K40" s="30" t="inlineStr">
        <is>
          <t>U.S. EIA / reputable market source (to validate)</t>
        </is>
      </c>
      <c r="L40" s="30" t="inlineStr">
        <is>
          <t>gold.oil_market_metrics</t>
        </is>
      </c>
      <c r="M40" s="30" t="inlineStr">
        <is>
          <t>Fuel &amp; Oil Market</t>
        </is>
      </c>
      <c r="N40" s="30" t="inlineStr">
        <is>
          <t>MVP</t>
        </is>
      </c>
      <c r="O40" s="30" t="inlineStr">
        <is>
          <t>Proposed</t>
        </is>
      </c>
      <c r="P40" s="30" t="str"/>
    </row>
    <row r="41">
      <c r="A41" s="30" t="inlineStr">
        <is>
          <t>OIL-005</t>
        </is>
      </c>
      <c r="B41" s="30" t="inlineStr">
        <is>
          <t>International Oil</t>
        </is>
      </c>
      <c r="C41" s="30" t="inlineStr">
        <is>
          <t>How are international oil prices evolving?</t>
        </is>
      </c>
      <c r="D41" s="30" t="inlineStr">
        <is>
          <t>WTI MoM %</t>
        </is>
      </c>
      <c r="E41" s="30" t="inlineStr">
        <is>
          <t>Monthly percentage change in WTI.</t>
        </is>
      </c>
      <c r="F41" s="30" t="inlineStr">
        <is>
          <t>(WTI_t / WTI_prev_month - 1) * 100</t>
        </is>
      </c>
      <c r="G41" s="30" t="inlineStr">
        <is>
          <t>%</t>
        </is>
      </c>
      <c r="H41" s="30" t="inlineStr">
        <is>
          <t>Daily</t>
        </is>
      </c>
      <c r="I41" s="30" t="inlineStr">
        <is>
          <t>Date; Benchmark</t>
        </is>
      </c>
      <c r="J41" s="30" t="inlineStr">
        <is>
          <t>Date; benchmark; price</t>
        </is>
      </c>
      <c r="K41" s="30" t="inlineStr">
        <is>
          <t>U.S. EIA / reputable market source (to validate)</t>
        </is>
      </c>
      <c r="L41" s="30" t="inlineStr">
        <is>
          <t>gold.oil_market_metrics</t>
        </is>
      </c>
      <c r="M41" s="30" t="inlineStr">
        <is>
          <t>Fuel &amp; Oil Market</t>
        </is>
      </c>
      <c r="N41" s="30" t="inlineStr">
        <is>
          <t>MVP</t>
        </is>
      </c>
      <c r="O41" s="30" t="inlineStr">
        <is>
          <t>Proposed</t>
        </is>
      </c>
      <c r="P41" s="30" t="str"/>
    </row>
    <row r="42">
      <c r="A42" s="30" t="inlineStr">
        <is>
          <t>OIL-006</t>
        </is>
      </c>
      <c r="B42" s="30" t="inlineStr">
        <is>
          <t>International Oil</t>
        </is>
      </c>
      <c r="C42" s="30" t="inlineStr">
        <is>
          <t>How are international oil prices evolving?</t>
        </is>
      </c>
      <c r="D42" s="30" t="inlineStr">
        <is>
          <t>Brent MoM %</t>
        </is>
      </c>
      <c r="E42" s="30" t="inlineStr">
        <is>
          <t>Monthly percentage change in Brent.</t>
        </is>
      </c>
      <c r="F42" s="30" t="inlineStr">
        <is>
          <t>(Brent_t / Brent_prev_month - 1) * 100</t>
        </is>
      </c>
      <c r="G42" s="30" t="inlineStr">
        <is>
          <t>%</t>
        </is>
      </c>
      <c r="H42" s="30" t="inlineStr">
        <is>
          <t>Daily</t>
        </is>
      </c>
      <c r="I42" s="30" t="inlineStr">
        <is>
          <t>Date; Benchmark</t>
        </is>
      </c>
      <c r="J42" s="30" t="inlineStr">
        <is>
          <t>Date; benchmark; price</t>
        </is>
      </c>
      <c r="K42" s="30" t="inlineStr">
        <is>
          <t>U.S. EIA / reputable market source (to validate)</t>
        </is>
      </c>
      <c r="L42" s="30" t="inlineStr">
        <is>
          <t>gold.oil_market_metrics</t>
        </is>
      </c>
      <c r="M42" s="30" t="inlineStr">
        <is>
          <t>Fuel &amp; Oil Market</t>
        </is>
      </c>
      <c r="N42" s="30" t="inlineStr">
        <is>
          <t>MVP</t>
        </is>
      </c>
      <c r="O42" s="30" t="inlineStr">
        <is>
          <t>Proposed</t>
        </is>
      </c>
      <c r="P42" s="30" t="str"/>
    </row>
    <row r="43">
      <c r="A43" s="30" t="inlineStr">
        <is>
          <t>OIL-007</t>
        </is>
      </c>
      <c r="B43" s="30" t="inlineStr">
        <is>
          <t>International Oil</t>
        </is>
      </c>
      <c r="C43" s="30" t="inlineStr">
        <is>
          <t>How are international oil prices evolving?</t>
        </is>
      </c>
      <c r="D43" s="30" t="inlineStr">
        <is>
          <t>WTI 30-Day Moving Average</t>
        </is>
      </c>
      <c r="E43" s="30" t="inlineStr">
        <is>
          <t>Rolling average of WTI prices.</t>
        </is>
      </c>
      <c r="F43" s="30" t="inlineStr">
        <is>
          <t>AVG(WTI) trailing 30-day window</t>
        </is>
      </c>
      <c r="G43" s="30" t="inlineStr">
        <is>
          <t>USD/barrel</t>
        </is>
      </c>
      <c r="H43" s="30" t="inlineStr">
        <is>
          <t>Daily</t>
        </is>
      </c>
      <c r="I43" s="30" t="inlineStr">
        <is>
          <t>Date; Benchmark</t>
        </is>
      </c>
      <c r="J43" s="30" t="inlineStr">
        <is>
          <t>Date; benchmark; price</t>
        </is>
      </c>
      <c r="K43" s="30" t="inlineStr">
        <is>
          <t>U.S. EIA / reputable market source (to validate)</t>
        </is>
      </c>
      <c r="L43" s="30" t="inlineStr">
        <is>
          <t>gold.oil_market_metrics</t>
        </is>
      </c>
      <c r="M43" s="30" t="inlineStr">
        <is>
          <t>Fuel &amp; Oil Market</t>
        </is>
      </c>
      <c r="N43" s="30" t="inlineStr">
        <is>
          <t>MVP</t>
        </is>
      </c>
      <c r="O43" s="30" t="inlineStr">
        <is>
          <t>Proposed</t>
        </is>
      </c>
      <c r="P43" s="30" t="str"/>
    </row>
    <row r="44">
      <c r="A44" s="30" t="inlineStr">
        <is>
          <t>OIL-008</t>
        </is>
      </c>
      <c r="B44" s="30" t="inlineStr">
        <is>
          <t>International Oil</t>
        </is>
      </c>
      <c r="C44" s="30" t="inlineStr">
        <is>
          <t>How are international oil prices evolving?</t>
        </is>
      </c>
      <c r="D44" s="30" t="inlineStr">
        <is>
          <t>Brent 30-Day Moving Average</t>
        </is>
      </c>
      <c r="E44" s="30" t="inlineStr">
        <is>
          <t>Rolling average of Brent prices.</t>
        </is>
      </c>
      <c r="F44" s="30" t="inlineStr">
        <is>
          <t>AVG(Brent) trailing 30-day window</t>
        </is>
      </c>
      <c r="G44" s="30" t="inlineStr">
        <is>
          <t>USD/barrel</t>
        </is>
      </c>
      <c r="H44" s="30" t="inlineStr">
        <is>
          <t>Daily</t>
        </is>
      </c>
      <c r="I44" s="30" t="inlineStr">
        <is>
          <t>Date; Benchmark</t>
        </is>
      </c>
      <c r="J44" s="30" t="inlineStr">
        <is>
          <t>Date; benchmark; price</t>
        </is>
      </c>
      <c r="K44" s="30" t="inlineStr">
        <is>
          <t>U.S. EIA / reputable market source (to validate)</t>
        </is>
      </c>
      <c r="L44" s="30" t="inlineStr">
        <is>
          <t>gold.oil_market_metrics</t>
        </is>
      </c>
      <c r="M44" s="30" t="inlineStr">
        <is>
          <t>Fuel &amp; Oil Market</t>
        </is>
      </c>
      <c r="N44" s="30" t="inlineStr">
        <is>
          <t>MVP</t>
        </is>
      </c>
      <c r="O44" s="30" t="inlineStr">
        <is>
          <t>Proposed</t>
        </is>
      </c>
      <c r="P44" s="30" t="str"/>
    </row>
    <row r="45">
      <c r="A45" s="30" t="inlineStr">
        <is>
          <t>REL-001</t>
        </is>
      </c>
      <c r="B45" s="30" t="inlineStr">
        <is>
          <t>Economic Relationships</t>
        </is>
      </c>
      <c r="C45" s="30" t="inlineStr">
        <is>
          <t>How do international oil prices relate to Dominican fuel prices?</t>
        </is>
      </c>
      <c r="D45" s="30" t="inlineStr">
        <is>
          <t>Oil/Fuel Correlation</t>
        </is>
      </c>
      <c r="E45" s="30" t="inlineStr">
        <is>
          <t>Statistical relationship metric for exploratory analysis; it does not establish causality.</t>
        </is>
      </c>
      <c r="F45" s="30" t="inlineStr">
        <is>
          <t>Correlation between aligned oil returns/prices and fuel returns/prices over a defined analysis window</t>
        </is>
      </c>
      <c r="G45" s="30" t="inlineStr">
        <is>
          <t>Correlation Coefficient</t>
        </is>
      </c>
      <c r="H45" s="30" t="inlineStr">
        <is>
          <t>Analytical Window</t>
        </is>
      </c>
      <c r="I45" s="30" t="inlineStr">
        <is>
          <t>Date; Oil Benchmark; Fuel Type; Lag</t>
        </is>
      </c>
      <c r="J45" s="30" t="inlineStr">
        <is>
          <t>Aligned oil and fuel time series</t>
        </is>
      </c>
      <c r="K45" s="30" t="inlineStr">
        <is>
          <t>Derived from validated oil + fuel sources</t>
        </is>
      </c>
      <c r="L45" s="30" t="inlineStr">
        <is>
          <t>gold.economic_relationship_metrics</t>
        </is>
      </c>
      <c r="M45" s="30" t="inlineStr">
        <is>
          <t>Economic Relationships</t>
        </is>
      </c>
      <c r="N45" s="30" t="inlineStr">
        <is>
          <t>MVP</t>
        </is>
      </c>
      <c r="O45" s="30" t="inlineStr">
        <is>
          <t>Proposed</t>
        </is>
      </c>
      <c r="P45" s="30" t="inlineStr">
        <is>
          <t>Frequency alignment and analysis window must be defined before implementation.</t>
        </is>
      </c>
    </row>
    <row r="46">
      <c r="A46" s="30" t="inlineStr">
        <is>
          <t>REL-002</t>
        </is>
      </c>
      <c r="B46" s="30" t="inlineStr">
        <is>
          <t>Economic Relationships</t>
        </is>
      </c>
      <c r="C46" s="30" t="inlineStr">
        <is>
          <t>How do international oil prices relate to Dominican fuel prices?</t>
        </is>
      </c>
      <c r="D46" s="30" t="inlineStr">
        <is>
          <t>Oil/Fuel Lag Correlation T+1</t>
        </is>
      </c>
      <c r="E46" s="30" t="inlineStr">
        <is>
          <t>Statistical relationship metric for exploratory analysis; it does not establish causality.</t>
        </is>
      </c>
      <c r="F46" s="30" t="inlineStr">
        <is>
          <t>Correlation after shifting oil series by one defined fuel observation period</t>
        </is>
      </c>
      <c r="G46" s="30" t="inlineStr">
        <is>
          <t>Correlation Coefficient</t>
        </is>
      </c>
      <c r="H46" s="30" t="inlineStr">
        <is>
          <t>Analytical Window</t>
        </is>
      </c>
      <c r="I46" s="30" t="inlineStr">
        <is>
          <t>Date; Oil Benchmark; Fuel Type; Lag</t>
        </is>
      </c>
      <c r="J46" s="30" t="inlineStr">
        <is>
          <t>Aligned oil and fuel time series</t>
        </is>
      </c>
      <c r="K46" s="30" t="inlineStr">
        <is>
          <t>Derived from validated oil + fuel sources</t>
        </is>
      </c>
      <c r="L46" s="30" t="inlineStr">
        <is>
          <t>gold.economic_relationship_metrics</t>
        </is>
      </c>
      <c r="M46" s="30" t="inlineStr">
        <is>
          <t>Economic Relationships</t>
        </is>
      </c>
      <c r="N46" s="30" t="inlineStr">
        <is>
          <t>Phase 2</t>
        </is>
      </c>
      <c r="O46" s="30" t="inlineStr">
        <is>
          <t>Proposed</t>
        </is>
      </c>
      <c r="P46" s="30" t="inlineStr">
        <is>
          <t>Frequency alignment and analysis window must be defined before implementation.</t>
        </is>
      </c>
    </row>
    <row r="47">
      <c r="A47" s="30" t="inlineStr">
        <is>
          <t>REL-003</t>
        </is>
      </c>
      <c r="B47" s="30" t="inlineStr">
        <is>
          <t>Economic Relationships</t>
        </is>
      </c>
      <c r="C47" s="30" t="inlineStr">
        <is>
          <t>How do international oil prices relate to Dominican fuel prices?</t>
        </is>
      </c>
      <c r="D47" s="30" t="inlineStr">
        <is>
          <t>Oil/Fuel Lag Correlation T+2</t>
        </is>
      </c>
      <c r="E47" s="30" t="inlineStr">
        <is>
          <t>Statistical relationship metric for exploratory analysis; it does not establish causality.</t>
        </is>
      </c>
      <c r="F47" s="30" t="inlineStr">
        <is>
          <t>Correlation after shifting oil series by two defined fuel observation periods</t>
        </is>
      </c>
      <c r="G47" s="30" t="inlineStr">
        <is>
          <t>Correlation Coefficient</t>
        </is>
      </c>
      <c r="H47" s="30" t="inlineStr">
        <is>
          <t>Analytical Window</t>
        </is>
      </c>
      <c r="I47" s="30" t="inlineStr">
        <is>
          <t>Date; Oil Benchmark; Fuel Type; Lag</t>
        </is>
      </c>
      <c r="J47" s="30" t="inlineStr">
        <is>
          <t>Aligned oil and fuel time series</t>
        </is>
      </c>
      <c r="K47" s="30" t="inlineStr">
        <is>
          <t>Derived from validated oil + fuel sources</t>
        </is>
      </c>
      <c r="L47" s="30" t="inlineStr">
        <is>
          <t>gold.economic_relationship_metrics</t>
        </is>
      </c>
      <c r="M47" s="30" t="inlineStr">
        <is>
          <t>Economic Relationships</t>
        </is>
      </c>
      <c r="N47" s="30" t="inlineStr">
        <is>
          <t>Phase 2</t>
        </is>
      </c>
      <c r="O47" s="30" t="inlineStr">
        <is>
          <t>Proposed</t>
        </is>
      </c>
      <c r="P47" s="30" t="inlineStr">
        <is>
          <t>Frequency alignment and analysis window must be defined before implementation.</t>
        </is>
      </c>
    </row>
    <row r="48">
      <c r="A48" s="30" t="inlineStr">
        <is>
          <t>REL-004</t>
        </is>
      </c>
      <c r="B48" s="30" t="inlineStr">
        <is>
          <t>Economic Relationships</t>
        </is>
      </c>
      <c r="C48" s="30" t="inlineStr">
        <is>
          <t>How do international oil prices relate to Dominican fuel prices?</t>
        </is>
      </c>
      <c r="D48" s="30" t="inlineStr">
        <is>
          <t>Oil/Fuel Lag Correlation T+4</t>
        </is>
      </c>
      <c r="E48" s="30" t="inlineStr">
        <is>
          <t>Statistical relationship metric for exploratory analysis; it does not establish causality.</t>
        </is>
      </c>
      <c r="F48" s="30" t="inlineStr">
        <is>
          <t>Correlation after shifting oil series by four defined fuel observation periods</t>
        </is>
      </c>
      <c r="G48" s="30" t="inlineStr">
        <is>
          <t>Correlation Coefficient</t>
        </is>
      </c>
      <c r="H48" s="30" t="inlineStr">
        <is>
          <t>Analytical Window</t>
        </is>
      </c>
      <c r="I48" s="30" t="inlineStr">
        <is>
          <t>Date; Oil Benchmark; Fuel Type; Lag</t>
        </is>
      </c>
      <c r="J48" s="30" t="inlineStr">
        <is>
          <t>Aligned oil and fuel time series</t>
        </is>
      </c>
      <c r="K48" s="30" t="inlineStr">
        <is>
          <t>Derived from validated oil + fuel sources</t>
        </is>
      </c>
      <c r="L48" s="30" t="inlineStr">
        <is>
          <t>gold.economic_relationship_metrics</t>
        </is>
      </c>
      <c r="M48" s="30" t="inlineStr">
        <is>
          <t>Economic Relationships</t>
        </is>
      </c>
      <c r="N48" s="30" t="inlineStr">
        <is>
          <t>Phase 2</t>
        </is>
      </c>
      <c r="O48" s="30" t="inlineStr">
        <is>
          <t>Proposed</t>
        </is>
      </c>
      <c r="P48" s="30" t="inlineStr">
        <is>
          <t>Frequency alignment and analysis window must be defined before implementation.</t>
        </is>
      </c>
    </row>
    <row r="49">
      <c r="A49" s="30" t="inlineStr">
        <is>
          <t>CON-001</t>
        </is>
      </c>
      <c r="B49" s="30" t="inlineStr">
        <is>
          <t>Consumer / Basic Basket</t>
        </is>
      </c>
      <c r="C49" s="30" t="inlineStr">
        <is>
          <t>Which products are contributing most to changes in household purchasing costs?</t>
        </is>
      </c>
      <c r="D49" s="30" t="inlineStr">
        <is>
          <t>Average Product Price</t>
        </is>
      </c>
      <c r="E49" s="30" t="inlineStr">
        <is>
          <t>Average observed price for a product within the selected dimensions.</t>
        </is>
      </c>
      <c r="F49" s="30" t="inlineStr">
        <is>
          <t>AVG(price)</t>
        </is>
      </c>
      <c r="G49" s="30" t="inlineStr">
        <is>
          <t>DOP / unit</t>
        </is>
      </c>
      <c r="H49" s="30" t="inlineStr">
        <is>
          <t>Monthly</t>
        </is>
      </c>
      <c r="I49" s="30" t="inlineStr">
        <is>
          <t>Month; Product; Presentation; Retail segment</t>
        </is>
      </c>
      <c r="J49" s="30" t="inlineStr">
        <is>
          <t>Product; price; date; location; unit; category</t>
        </is>
      </c>
      <c r="K49" s="30" t="inlineStr">
        <is>
          <t>Pro Consumidor — Precios Productos de Primera Necesidad, Jul–Sep 2026 XLSX (validated 2026-10-23)</t>
        </is>
      </c>
      <c r="L49" s="30" t="inlineStr">
        <is>
          <t>gold.consumer_price_metrics</t>
        </is>
      </c>
      <c r="M49" s="30" t="inlineStr">
        <is>
          <t>Basic Basket &amp; Consumer Prices</t>
        </is>
      </c>
      <c r="N49" s="30" t="inlineStr">
        <is>
          <t>MVP</t>
        </is>
      </c>
      <c r="O49" s="30" t="inlineStr">
        <is>
          <t>Validated</t>
        </is>
      </c>
      <c r="P49" s="30" t="inlineStr">
        <is>
          <t>Across retail segments, per month × product × presentation. 30 rows with years outside the report period rejected.</t>
        </is>
      </c>
    </row>
    <row r="50">
      <c r="A50" s="30" t="inlineStr">
        <is>
          <t>CON-002</t>
        </is>
      </c>
      <c r="B50" s="30" t="inlineStr">
        <is>
          <t>Consumer / Basic Basket</t>
        </is>
      </c>
      <c r="C50" s="30" t="inlineStr">
        <is>
          <t>Which products are contributing most to changes in household purchasing costs?</t>
        </is>
      </c>
      <c r="D50" s="30" t="inlineStr">
        <is>
          <t>Median Product Price</t>
        </is>
      </c>
      <c r="E50" s="30" t="inlineStr">
        <is>
          <t>Median observed product price.</t>
        </is>
      </c>
      <c r="F50" s="30" t="inlineStr">
        <is>
          <t>MEDIAN(price)</t>
        </is>
      </c>
      <c r="G50" s="30" t="inlineStr">
        <is>
          <t>DOP / unit</t>
        </is>
      </c>
      <c r="H50" s="30" t="inlineStr">
        <is>
          <t>Monthly</t>
        </is>
      </c>
      <c r="I50" s="30" t="inlineStr">
        <is>
          <t>Month; Product; Presentation; Retail segment</t>
        </is>
      </c>
      <c r="J50" s="30" t="inlineStr">
        <is>
          <t>Product; price; date; location; unit; category</t>
        </is>
      </c>
      <c r="K50" s="30" t="inlineStr">
        <is>
          <t>Pro Consumidor — Precios Productos de Primera Necesidad, Jul–Sep 2026 XLSX (validated 2026-10-23)</t>
        </is>
      </c>
      <c r="L50" s="30" t="inlineStr">
        <is>
          <t>gold.consumer_price_metrics</t>
        </is>
      </c>
      <c r="M50" s="30" t="inlineStr">
        <is>
          <t>Basic Basket &amp; Consumer Prices</t>
        </is>
      </c>
      <c r="N50" s="30" t="inlineStr">
        <is>
          <t>MVP</t>
        </is>
      </c>
      <c r="O50" s="30" t="inlineStr">
        <is>
          <t>Validated</t>
        </is>
      </c>
      <c r="P50" s="30" t="inlineStr">
        <is>
          <t>Across retail segments.</t>
        </is>
      </c>
    </row>
    <row r="51">
      <c r="A51" s="30" t="inlineStr">
        <is>
          <t>CON-003</t>
        </is>
      </c>
      <c r="B51" s="30" t="inlineStr">
        <is>
          <t>Consumer / Basic Basket</t>
        </is>
      </c>
      <c r="C51" s="30" t="inlineStr">
        <is>
          <t>Which products are contributing most to changes in household purchasing costs?</t>
        </is>
      </c>
      <c r="D51" s="30" t="inlineStr">
        <is>
          <t>Minimum Product Price</t>
        </is>
      </c>
      <c r="E51" s="30" t="inlineStr">
        <is>
          <t>Minimum observed product price.</t>
        </is>
      </c>
      <c r="F51" s="30" t="inlineStr">
        <is>
          <t>MIN(price)</t>
        </is>
      </c>
      <c r="G51" s="30" t="inlineStr">
        <is>
          <t>DOP / unit</t>
        </is>
      </c>
      <c r="H51" s="30" t="inlineStr">
        <is>
          <t>Monthly</t>
        </is>
      </c>
      <c r="I51" s="30" t="inlineStr">
        <is>
          <t>Month; Product; Presentation; Retail segment</t>
        </is>
      </c>
      <c r="J51" s="30" t="inlineStr">
        <is>
          <t>Product; price; date; location; unit; category</t>
        </is>
      </c>
      <c r="K51" s="30" t="inlineStr">
        <is>
          <t>Pro Consumidor — Precios Productos de Primera Necesidad, Jul–Sep 2026 XLSX (validated 2026-10-23)</t>
        </is>
      </c>
      <c r="L51" s="30" t="inlineStr">
        <is>
          <t>gold.consumer_price_metrics</t>
        </is>
      </c>
      <c r="M51" s="30" t="inlineStr">
        <is>
          <t>Basic Basket &amp; Consumer Prices</t>
        </is>
      </c>
      <c r="N51" s="30" t="inlineStr">
        <is>
          <t>MVP</t>
        </is>
      </c>
      <c r="O51" s="30" t="inlineStr">
        <is>
          <t>Validated</t>
        </is>
      </c>
      <c r="P51" s="30" t="inlineStr">
        <is>
          <t>With cheapest_segment.</t>
        </is>
      </c>
    </row>
    <row r="52">
      <c r="A52" s="30" t="inlineStr">
        <is>
          <t>CON-004</t>
        </is>
      </c>
      <c r="B52" s="30" t="inlineStr">
        <is>
          <t>Consumer / Basic Basket</t>
        </is>
      </c>
      <c r="C52" s="30" t="inlineStr">
        <is>
          <t>Which products are contributing most to changes in household purchasing costs?</t>
        </is>
      </c>
      <c r="D52" s="30" t="inlineStr">
        <is>
          <t>Maximum Product Price</t>
        </is>
      </c>
      <c r="E52" s="30" t="inlineStr">
        <is>
          <t>Maximum observed product price.</t>
        </is>
      </c>
      <c r="F52" s="30" t="inlineStr">
        <is>
          <t>MAX(price)</t>
        </is>
      </c>
      <c r="G52" s="30" t="inlineStr">
        <is>
          <t>DOP / unit</t>
        </is>
      </c>
      <c r="H52" s="30" t="inlineStr">
        <is>
          <t>Monthly</t>
        </is>
      </c>
      <c r="I52" s="30" t="inlineStr">
        <is>
          <t>Month; Product; Presentation; Retail segment</t>
        </is>
      </c>
      <c r="J52" s="30" t="inlineStr">
        <is>
          <t>Product; price; date; location; unit; category</t>
        </is>
      </c>
      <c r="K52" s="30" t="inlineStr">
        <is>
          <t>Pro Consumidor — Precios Productos de Primera Necesidad, Jul–Sep 2026 XLSX (validated 2026-10-23)</t>
        </is>
      </c>
      <c r="L52" s="30" t="inlineStr">
        <is>
          <t>gold.consumer_price_metrics</t>
        </is>
      </c>
      <c r="M52" s="30" t="inlineStr">
        <is>
          <t>Basic Basket &amp; Consumer Prices</t>
        </is>
      </c>
      <c r="N52" s="30" t="inlineStr">
        <is>
          <t>MVP</t>
        </is>
      </c>
      <c r="O52" s="30" t="inlineStr">
        <is>
          <t>Validated</t>
        </is>
      </c>
      <c r="P52" s="30" t="inlineStr">
        <is>
          <t>With most_expensive_segment.</t>
        </is>
      </c>
    </row>
    <row r="53">
      <c r="A53" s="30" t="inlineStr">
        <is>
          <t>CON-005</t>
        </is>
      </c>
      <c r="B53" s="30" t="inlineStr">
        <is>
          <t>Consumer / Basic Basket</t>
        </is>
      </c>
      <c r="C53" s="30" t="inlineStr">
        <is>
          <t>Which products are contributing most to changes in household purchasing costs?</t>
        </is>
      </c>
      <c r="D53" s="30" t="inlineStr">
        <is>
          <t>Product MoM %</t>
        </is>
      </c>
      <c r="E53" s="30" t="inlineStr">
        <is>
          <t>Monthly percentage change in comparable product price.</t>
        </is>
      </c>
      <c r="F53" s="30" t="inlineStr">
        <is>
          <t>(Price_t / Price_prev_month - 1) * 100</t>
        </is>
      </c>
      <c r="G53" s="30" t="inlineStr">
        <is>
          <t>%</t>
        </is>
      </c>
      <c r="H53" s="30" t="inlineStr">
        <is>
          <t>Monthly</t>
        </is>
      </c>
      <c r="I53" s="30" t="inlineStr">
        <is>
          <t>Month; Product; Presentation; Retail segment</t>
        </is>
      </c>
      <c r="J53" s="30" t="inlineStr">
        <is>
          <t>Product; price; date; location; unit; category</t>
        </is>
      </c>
      <c r="K53" s="30" t="inlineStr">
        <is>
          <t>Pro Consumidor — Precios Productos de Primera Necesidad, Jul–Sep 2026 XLSX (validated 2026-10-23)</t>
        </is>
      </c>
      <c r="L53" s="30" t="inlineStr">
        <is>
          <t>gold.consumer_price_metrics</t>
        </is>
      </c>
      <c r="M53" s="30" t="inlineStr">
        <is>
          <t>Basic Basket &amp; Consumer Prices</t>
        </is>
      </c>
      <c r="N53" s="30" t="inlineStr">
        <is>
          <t>MVP</t>
        </is>
      </c>
      <c r="O53" s="30" t="inlineStr">
        <is>
          <t>Validated</t>
        </is>
      </c>
      <c r="P53" s="30" t="inlineStr">
        <is>
          <t>Like-for-like: average of per-segment change for segments priced in both consecutive months (segment mix varies). NULL when none match.</t>
        </is>
      </c>
    </row>
    <row r="54">
      <c r="A54" s="30" t="inlineStr">
        <is>
          <t>CON-006</t>
        </is>
      </c>
      <c r="B54" s="30" t="inlineStr">
        <is>
          <t>Consumer / Basic Basket</t>
        </is>
      </c>
      <c r="C54" s="30" t="inlineStr">
        <is>
          <t>Which products are contributing most to changes in household purchasing costs?</t>
        </is>
      </c>
      <c r="D54" s="30" t="inlineStr">
        <is>
          <t>Product YoY %</t>
        </is>
      </c>
      <c r="E54" s="30" t="inlineStr">
        <is>
          <t>Year-over-year percentage change in comparable product price.</t>
        </is>
      </c>
      <c r="F54" s="30" t="inlineStr">
        <is>
          <t>(Price_t / Price_t-1year - 1) * 100</t>
        </is>
      </c>
      <c r="G54" s="30" t="inlineStr">
        <is>
          <t>%</t>
        </is>
      </c>
      <c r="H54" s="30" t="inlineStr">
        <is>
          <t>Monthly</t>
        </is>
      </c>
      <c r="I54" s="30" t="inlineStr">
        <is>
          <t>Month; Product; Presentation; Retail segment</t>
        </is>
      </c>
      <c r="J54" s="30" t="inlineStr">
        <is>
          <t>Product; price; date; location; unit; category</t>
        </is>
      </c>
      <c r="K54" s="30" t="inlineStr">
        <is>
          <t>Pro Consumidor — Precios Productos de Primera Necesidad, Jul–Sep 2026 XLSX (validated 2026-10-23)</t>
        </is>
      </c>
      <c r="L54" s="30" t="inlineStr">
        <is>
          <t>gold.consumer_price_metrics</t>
        </is>
      </c>
      <c r="M54" s="30" t="inlineStr">
        <is>
          <t>Basic Basket &amp; Consumer Prices</t>
        </is>
      </c>
      <c r="N54" s="30" t="inlineStr">
        <is>
          <t>MVP</t>
        </is>
      </c>
      <c r="O54" s="30" t="inlineStr">
        <is>
          <t>Not Calculable</t>
        </is>
      </c>
      <c r="P54" s="30" t="inlineStr">
        <is>
          <t>Source covers 3 months (Jul–Sep 2026).</t>
        </is>
      </c>
    </row>
    <row r="55">
      <c r="A55" s="30" t="inlineStr">
        <is>
          <t>CON-007</t>
        </is>
      </c>
      <c r="B55" s="30" t="inlineStr">
        <is>
          <t>Consumer / Basic Basket</t>
        </is>
      </c>
      <c r="C55" s="30" t="inlineStr">
        <is>
          <t>Which products are contributing most to changes in household purchasing costs?</t>
        </is>
      </c>
      <c r="D55" s="30" t="inlineStr">
        <is>
          <t>Product YTD %</t>
        </is>
      </c>
      <c r="E55" s="30" t="inlineStr">
        <is>
          <t>Percentage change versus prior-year-end comparable price.</t>
        </is>
      </c>
      <c r="F55" s="30" t="inlineStr">
        <is>
          <t>(Price_t / Price_last_prev_year - 1) * 100</t>
        </is>
      </c>
      <c r="G55" s="30" t="inlineStr">
        <is>
          <t>%</t>
        </is>
      </c>
      <c r="H55" s="30" t="inlineStr">
        <is>
          <t>Monthly</t>
        </is>
      </c>
      <c r="I55" s="30" t="inlineStr">
        <is>
          <t>Month; Product; Presentation; Retail segment</t>
        </is>
      </c>
      <c r="J55" s="30" t="inlineStr">
        <is>
          <t>Product; price; date; location; unit; category</t>
        </is>
      </c>
      <c r="K55" s="30" t="inlineStr">
        <is>
          <t>Pro Consumidor — Precios Productos de Primera Necesidad, Jul–Sep 2026 XLSX (validated 2026-10-23)</t>
        </is>
      </c>
      <c r="L55" s="30" t="inlineStr">
        <is>
          <t>gold.consumer_price_metrics</t>
        </is>
      </c>
      <c r="M55" s="30" t="inlineStr">
        <is>
          <t>Basic Basket &amp; Consumer Prices</t>
        </is>
      </c>
      <c r="N55" s="30" t="inlineStr">
        <is>
          <t>MVP</t>
        </is>
      </c>
      <c r="O55" s="30" t="inlineStr">
        <is>
          <t>Not Calculable</t>
        </is>
      </c>
      <c r="P55" s="30" t="inlineStr">
        <is>
          <t>Source covers 3 months (Jul–Sep 2026).</t>
        </is>
      </c>
    </row>
    <row r="56">
      <c r="A56" s="30" t="inlineStr">
        <is>
          <t>CON-008</t>
        </is>
      </c>
      <c r="B56" s="30" t="inlineStr">
        <is>
          <t>Consumer / Basic Basket</t>
        </is>
      </c>
      <c r="C56" s="30" t="inlineStr">
        <is>
          <t>Which products are contributing most to changes in household purchasing costs?</t>
        </is>
      </c>
      <c r="D56" s="30" t="inlineStr">
        <is>
          <t>Product Price Volatility</t>
        </is>
      </c>
      <c r="E56" s="30" t="inlineStr">
        <is>
          <t>Dispersion of periodic product-price changes.</t>
        </is>
      </c>
      <c r="F56" s="30" t="inlineStr">
        <is>
          <t>STDDEV(periodic returns) over defined window</t>
        </is>
      </c>
      <c r="G56" s="30" t="inlineStr">
        <is>
          <t>%</t>
        </is>
      </c>
      <c r="H56" s="30" t="inlineStr">
        <is>
          <t>Monthly</t>
        </is>
      </c>
      <c r="I56" s="30" t="inlineStr">
        <is>
          <t>Month; Product; Presentation; Retail segment</t>
        </is>
      </c>
      <c r="J56" s="30" t="inlineStr">
        <is>
          <t>Product; price; date; location; unit; category</t>
        </is>
      </c>
      <c r="K56" s="30" t="inlineStr">
        <is>
          <t>Pro Consumidor — Precios Productos de Primera Necesidad, Jul–Sep 2026 XLSX (validated 2026-10-23)</t>
        </is>
      </c>
      <c r="L56" s="30" t="inlineStr">
        <is>
          <t>gold.consumer_price_metrics</t>
        </is>
      </c>
      <c r="M56" s="30" t="inlineStr">
        <is>
          <t>Basic Basket &amp; Consumer Prices</t>
        </is>
      </c>
      <c r="N56" s="30" t="inlineStr">
        <is>
          <t>MVP</t>
        </is>
      </c>
      <c r="O56" s="30" t="inlineStr">
        <is>
          <t>Not Calculable</t>
        </is>
      </c>
      <c r="P56" s="30" t="inlineStr">
        <is>
          <t>Too few observations per product.</t>
        </is>
      </c>
    </row>
    <row r="57">
      <c r="A57" s="30" t="inlineStr">
        <is>
          <t>CON-009</t>
        </is>
      </c>
      <c r="B57" s="30" t="inlineStr">
        <is>
          <t>Consumer / Basic Basket</t>
        </is>
      </c>
      <c r="C57" s="30" t="inlineStr">
        <is>
          <t>Which products are contributing most to changes in household purchasing costs?</t>
        </is>
      </c>
      <c r="D57" s="30" t="inlineStr">
        <is>
          <t>Regional Price Difference %</t>
        </is>
      </c>
      <c r="E57" s="30" t="inlineStr">
        <is>
          <t>Relative difference in comparable product prices across geographic areas.</t>
        </is>
      </c>
      <c r="F57" s="30" t="inlineStr">
        <is>
          <t>(Regional Price / Reference Price - 1) * 100</t>
        </is>
      </c>
      <c r="G57" s="30" t="inlineStr">
        <is>
          <t>%</t>
        </is>
      </c>
      <c r="H57" s="30" t="inlineStr">
        <is>
          <t>Monthly</t>
        </is>
      </c>
      <c r="I57" s="30" t="inlineStr">
        <is>
          <t>Month; Product; Presentation; Retail segment</t>
        </is>
      </c>
      <c r="J57" s="30" t="inlineStr">
        <is>
          <t>Product; price; date; location; unit; category</t>
        </is>
      </c>
      <c r="K57" s="30" t="inlineStr">
        <is>
          <t>Pro Consumidor — Precios Productos de Primera Necesidad, Jul–Sep 2026 XLSX (validated 2026-10-23)</t>
        </is>
      </c>
      <c r="L57" s="30" t="inlineStr">
        <is>
          <t>gold.consumer_price_metrics</t>
        </is>
      </c>
      <c r="M57" s="30" t="inlineStr">
        <is>
          <t>Basic Basket &amp; Consumer Prices</t>
        </is>
      </c>
      <c r="N57" s="30" t="inlineStr">
        <is>
          <t>MVP</t>
        </is>
      </c>
      <c r="O57" s="30" t="inlineStr">
        <is>
          <t>Not Calculable</t>
        </is>
      </c>
      <c r="P57" s="30" t="inlineStr">
        <is>
          <t>Source has no geography; price_spread_pct across retail segments provided instead (not regional).</t>
        </is>
      </c>
    </row>
    <row r="58">
      <c r="A58" s="30" t="inlineStr">
        <is>
          <t>CON-010</t>
        </is>
      </c>
      <c r="B58" s="30" t="inlineStr">
        <is>
          <t>Consumer / Basic Basket</t>
        </is>
      </c>
      <c r="C58" s="30" t="inlineStr">
        <is>
          <t>Which products are contributing most to changes in household purchasing costs?</t>
        </is>
      </c>
      <c r="D58" s="30" t="inlineStr">
        <is>
          <t>Category Price Index</t>
        </is>
      </c>
      <c r="E58" s="30" t="inlineStr">
        <is>
          <t>Analytical index summarizing price movement for a product category.</t>
        </is>
      </c>
      <c r="F58" s="30" t="inlineStr">
        <is>
          <t>Index methodology to be defined after source/granularity assessment</t>
        </is>
      </c>
      <c r="G58" s="30" t="inlineStr">
        <is>
          <t>Index</t>
        </is>
      </c>
      <c r="H58" s="30" t="inlineStr">
        <is>
          <t>Monthly</t>
        </is>
      </c>
      <c r="I58" s="30" t="inlineStr">
        <is>
          <t>Month; Product; Presentation; Retail segment</t>
        </is>
      </c>
      <c r="J58" s="30" t="inlineStr">
        <is>
          <t>Product; price; date; location; unit; category</t>
        </is>
      </c>
      <c r="K58" s="30" t="inlineStr">
        <is>
          <t>Pro Consumidor — Precios Productos de Primera Necesidad, Jul–Sep 2026 XLSX (validated 2026-10-23)</t>
        </is>
      </c>
      <c r="L58" s="30" t="inlineStr">
        <is>
          <t>gold.consumer_price_metrics</t>
        </is>
      </c>
      <c r="M58" s="30" t="inlineStr">
        <is>
          <t>Basic Basket &amp; Consumer Prices</t>
        </is>
      </c>
      <c r="N58" s="30" t="inlineStr">
        <is>
          <t>MVP</t>
        </is>
      </c>
      <c r="O58" s="30" t="inlineStr">
        <is>
          <t>Proposed</t>
        </is>
      </c>
      <c r="P58" s="30" t="inlineStr">
        <is>
          <t>Needs category mapping and weighting methodology.</t>
        </is>
      </c>
    </row>
    <row r="59">
      <c r="A59" s="30" t="inlineStr">
        <is>
          <t>AGR-001</t>
        </is>
      </c>
      <c r="B59" s="30" t="inlineStr">
        <is>
          <t>Agricultural Prices</t>
        </is>
      </c>
      <c r="C59" s="30" t="inlineStr">
        <is>
          <t>Which agricultural products have experienced the greatest price changes, volatility, or seasonality?</t>
        </is>
      </c>
      <c r="D59" s="30" t="inlineStr">
        <is>
          <t>Average Agricultural Price</t>
        </is>
      </c>
      <c r="E59" s="30" t="inlineStr">
        <is>
          <t>Average observed price for an agricultural product.</t>
        </is>
      </c>
      <c r="F59" s="30" t="inlineStr">
        <is>
          <t>AVG(price)</t>
        </is>
      </c>
      <c r="G59" s="30" t="inlineStr">
        <is>
          <t>DOP / unit</t>
        </is>
      </c>
      <c r="H59" s="30" t="inlineStr">
        <is>
          <t>Weekly / Monthly / Source-dependent</t>
        </is>
      </c>
      <c r="I59" s="30" t="inlineStr">
        <is>
          <t>Date; Product; Unit; Market; Municipality; Province; Region</t>
        </is>
      </c>
      <c r="J59" s="30" t="inlineStr">
        <is>
          <t>Product; price; date; location; unit</t>
        </is>
      </c>
      <c r="K59" s="30" t="inlineStr">
        <is>
          <t>Ministry of Agriculture / public data source (to validate)</t>
        </is>
      </c>
      <c r="L59" s="30" t="inlineStr">
        <is>
          <t>gold.agricultural_price_metrics</t>
        </is>
      </c>
      <c r="M59" s="30" t="inlineStr">
        <is>
          <t>Agricultural Prices</t>
        </is>
      </c>
      <c r="N59" s="30" t="inlineStr">
        <is>
          <t>MVP</t>
        </is>
      </c>
      <c r="O59" s="30" t="inlineStr">
        <is>
          <t>Proposed</t>
        </is>
      </c>
      <c r="P59" s="30" t="str"/>
    </row>
    <row r="60">
      <c r="A60" s="30" t="inlineStr">
        <is>
          <t>AGR-002</t>
        </is>
      </c>
      <c r="B60" s="30" t="inlineStr">
        <is>
          <t>Agricultural Prices</t>
        </is>
      </c>
      <c r="C60" s="30" t="inlineStr">
        <is>
          <t>Which agricultural products have experienced the greatest price changes, volatility, or seasonality?</t>
        </is>
      </c>
      <c r="D60" s="30" t="inlineStr">
        <is>
          <t>MoM Price Change %</t>
        </is>
      </c>
      <c r="E60" s="30" t="inlineStr">
        <is>
          <t>Monthly percentage change in comparable agricultural price.</t>
        </is>
      </c>
      <c r="F60" s="30" t="inlineStr">
        <is>
          <t>(Price_t / Price_prev_month - 1) * 100</t>
        </is>
      </c>
      <c r="G60" s="30" t="inlineStr">
        <is>
          <t>%</t>
        </is>
      </c>
      <c r="H60" s="30" t="inlineStr">
        <is>
          <t>Weekly / Monthly / Source-dependent</t>
        </is>
      </c>
      <c r="I60" s="30" t="inlineStr">
        <is>
          <t>Date; Product; Unit; Market; Municipality; Province; Region</t>
        </is>
      </c>
      <c r="J60" s="30" t="inlineStr">
        <is>
          <t>Product; price; date; location; unit</t>
        </is>
      </c>
      <c r="K60" s="30" t="inlineStr">
        <is>
          <t>Ministry of Agriculture / public data source (to validate)</t>
        </is>
      </c>
      <c r="L60" s="30" t="inlineStr">
        <is>
          <t>gold.agricultural_price_metrics</t>
        </is>
      </c>
      <c r="M60" s="30" t="inlineStr">
        <is>
          <t>Agricultural Prices</t>
        </is>
      </c>
      <c r="N60" s="30" t="inlineStr">
        <is>
          <t>MVP</t>
        </is>
      </c>
      <c r="O60" s="30" t="inlineStr">
        <is>
          <t>Proposed</t>
        </is>
      </c>
      <c r="P60" s="30" t="inlineStr">
        <is>
          <t>Requires unit and market-level comparability validation.</t>
        </is>
      </c>
    </row>
    <row r="61">
      <c r="A61" s="30" t="inlineStr">
        <is>
          <t>AGR-003</t>
        </is>
      </c>
      <c r="B61" s="30" t="inlineStr">
        <is>
          <t>Agricultural Prices</t>
        </is>
      </c>
      <c r="C61" s="30" t="inlineStr">
        <is>
          <t>Which agricultural products have experienced the greatest price changes, volatility, or seasonality?</t>
        </is>
      </c>
      <c r="D61" s="30" t="inlineStr">
        <is>
          <t>YoY Price Change %</t>
        </is>
      </c>
      <c r="E61" s="30" t="inlineStr">
        <is>
          <t>Year-over-year percentage change in comparable agricultural price.</t>
        </is>
      </c>
      <c r="F61" s="30" t="inlineStr">
        <is>
          <t>(Price_t / Price_t-1year - 1) * 100</t>
        </is>
      </c>
      <c r="G61" s="30" t="inlineStr">
        <is>
          <t>%</t>
        </is>
      </c>
      <c r="H61" s="30" t="inlineStr">
        <is>
          <t>Weekly / Monthly / Source-dependent</t>
        </is>
      </c>
      <c r="I61" s="30" t="inlineStr">
        <is>
          <t>Date; Product; Unit; Market; Municipality; Province; Region</t>
        </is>
      </c>
      <c r="J61" s="30" t="inlineStr">
        <is>
          <t>Product; price; date; location; unit</t>
        </is>
      </c>
      <c r="K61" s="30" t="inlineStr">
        <is>
          <t>Ministry of Agriculture / public data source (to validate)</t>
        </is>
      </c>
      <c r="L61" s="30" t="inlineStr">
        <is>
          <t>gold.agricultural_price_metrics</t>
        </is>
      </c>
      <c r="M61" s="30" t="inlineStr">
        <is>
          <t>Agricultural Prices</t>
        </is>
      </c>
      <c r="N61" s="30" t="inlineStr">
        <is>
          <t>MVP</t>
        </is>
      </c>
      <c r="O61" s="30" t="inlineStr">
        <is>
          <t>Proposed</t>
        </is>
      </c>
      <c r="P61" s="30" t="inlineStr">
        <is>
          <t>Requires unit and market-level comparability validation.</t>
        </is>
      </c>
    </row>
    <row r="62">
      <c r="A62" s="30" t="inlineStr">
        <is>
          <t>AGR-004</t>
        </is>
      </c>
      <c r="B62" s="30" t="inlineStr">
        <is>
          <t>Agricultural Prices</t>
        </is>
      </c>
      <c r="C62" s="30" t="inlineStr">
        <is>
          <t>Which agricultural products have experienced the greatest price changes, volatility, or seasonality?</t>
        </is>
      </c>
      <c r="D62" s="30" t="inlineStr">
        <is>
          <t>YTD Price Change %</t>
        </is>
      </c>
      <c r="E62" s="30" t="inlineStr">
        <is>
          <t>Percentage change versus prior-year-end comparable price.</t>
        </is>
      </c>
      <c r="F62" s="30" t="inlineStr">
        <is>
          <t>(Price_t / Price_last_prev_year - 1) * 100</t>
        </is>
      </c>
      <c r="G62" s="30" t="inlineStr">
        <is>
          <t>%</t>
        </is>
      </c>
      <c r="H62" s="30" t="inlineStr">
        <is>
          <t>Weekly / Monthly / Source-dependent</t>
        </is>
      </c>
      <c r="I62" s="30" t="inlineStr">
        <is>
          <t>Date; Product; Unit; Market; Municipality; Province; Region</t>
        </is>
      </c>
      <c r="J62" s="30" t="inlineStr">
        <is>
          <t>Product; price; date; location; unit</t>
        </is>
      </c>
      <c r="K62" s="30" t="inlineStr">
        <is>
          <t>Ministry of Agriculture / public data source (to validate)</t>
        </is>
      </c>
      <c r="L62" s="30" t="inlineStr">
        <is>
          <t>gold.agricultural_price_metrics</t>
        </is>
      </c>
      <c r="M62" s="30" t="inlineStr">
        <is>
          <t>Agricultural Prices</t>
        </is>
      </c>
      <c r="N62" s="30" t="inlineStr">
        <is>
          <t>MVP</t>
        </is>
      </c>
      <c r="O62" s="30" t="inlineStr">
        <is>
          <t>Proposed</t>
        </is>
      </c>
      <c r="P62" s="30" t="inlineStr">
        <is>
          <t>Requires unit and market-level comparability validation.</t>
        </is>
      </c>
    </row>
    <row r="63">
      <c r="A63" s="30" t="inlineStr">
        <is>
          <t>AGR-005</t>
        </is>
      </c>
      <c r="B63" s="30" t="inlineStr">
        <is>
          <t>Agricultural Prices</t>
        </is>
      </c>
      <c r="C63" s="30" t="inlineStr">
        <is>
          <t>Which agricultural products have experienced the greatest price changes, volatility, or seasonality?</t>
        </is>
      </c>
      <c r="D63" s="30" t="inlineStr">
        <is>
          <t>Price Volatility</t>
        </is>
      </c>
      <c r="E63" s="30" t="inlineStr">
        <is>
          <t>Dispersion of periodic agricultural-price changes.</t>
        </is>
      </c>
      <c r="F63" s="30" t="inlineStr">
        <is>
          <t>STDDEV(periodic returns) over defined window</t>
        </is>
      </c>
      <c r="G63" s="30" t="inlineStr">
        <is>
          <t>%</t>
        </is>
      </c>
      <c r="H63" s="30" t="inlineStr">
        <is>
          <t>Weekly / Monthly / Source-dependent</t>
        </is>
      </c>
      <c r="I63" s="30" t="inlineStr">
        <is>
          <t>Date; Product; Unit; Market; Municipality; Province; Region</t>
        </is>
      </c>
      <c r="J63" s="30" t="inlineStr">
        <is>
          <t>Product; price; date; location; unit</t>
        </is>
      </c>
      <c r="K63" s="30" t="inlineStr">
        <is>
          <t>Ministry of Agriculture / public data source (to validate)</t>
        </is>
      </c>
      <c r="L63" s="30" t="inlineStr">
        <is>
          <t>gold.agricultural_price_metrics</t>
        </is>
      </c>
      <c r="M63" s="30" t="inlineStr">
        <is>
          <t>Agricultural Prices</t>
        </is>
      </c>
      <c r="N63" s="30" t="inlineStr">
        <is>
          <t>MVP</t>
        </is>
      </c>
      <c r="O63" s="30" t="inlineStr">
        <is>
          <t>Proposed</t>
        </is>
      </c>
      <c r="P63" s="30" t="inlineStr">
        <is>
          <t>Requires unit and market-level comparability validation.</t>
        </is>
      </c>
    </row>
    <row r="64">
      <c r="A64" s="30" t="inlineStr">
        <is>
          <t>AGR-006</t>
        </is>
      </c>
      <c r="B64" s="30" t="inlineStr">
        <is>
          <t>Agricultural Prices</t>
        </is>
      </c>
      <c r="C64" s="30" t="inlineStr">
        <is>
          <t>Which agricultural products have experienced the greatest price changes, volatility, or seasonality?</t>
        </is>
      </c>
      <c r="D64" s="30" t="inlineStr">
        <is>
          <t>Seasonal Price Index</t>
        </is>
      </c>
      <c r="E64" s="30" t="inlineStr">
        <is>
          <t>Index measuring recurring seasonal price patterns.</t>
        </is>
      </c>
      <c r="F64" s="30" t="inlineStr">
        <is>
          <t>Seasonal methodology to be defined after data-history assessment</t>
        </is>
      </c>
      <c r="G64" s="30" t="inlineStr">
        <is>
          <t>Index</t>
        </is>
      </c>
      <c r="H64" s="30" t="inlineStr">
        <is>
          <t>Weekly / Monthly / Source-dependent</t>
        </is>
      </c>
      <c r="I64" s="30" t="inlineStr">
        <is>
          <t>Date; Product; Unit; Market; Municipality; Province; Region</t>
        </is>
      </c>
      <c r="J64" s="30" t="inlineStr">
        <is>
          <t>Product; price; date; location; unit</t>
        </is>
      </c>
      <c r="K64" s="30" t="inlineStr">
        <is>
          <t>Ministry of Agriculture / public data source (to validate)</t>
        </is>
      </c>
      <c r="L64" s="30" t="inlineStr">
        <is>
          <t>gold.agricultural_price_metrics</t>
        </is>
      </c>
      <c r="M64" s="30" t="inlineStr">
        <is>
          <t>Agricultural Prices</t>
        </is>
      </c>
      <c r="N64" s="30" t="inlineStr">
        <is>
          <t>MVP</t>
        </is>
      </c>
      <c r="O64" s="30" t="inlineStr">
        <is>
          <t>Proposed</t>
        </is>
      </c>
      <c r="P64" s="30" t="inlineStr">
        <is>
          <t>Requires unit and market-level comparability validation.</t>
        </is>
      </c>
    </row>
    <row r="65">
      <c r="A65" s="30" t="inlineStr">
        <is>
          <t>AGR-007</t>
        </is>
      </c>
      <c r="B65" s="30" t="inlineStr">
        <is>
          <t>Agricultural Prices</t>
        </is>
      </c>
      <c r="C65" s="30" t="inlineStr">
        <is>
          <t>Which agricultural products have experienced the greatest price changes, volatility, or seasonality?</t>
        </is>
      </c>
      <c r="D65" s="30" t="inlineStr">
        <is>
          <t>Regional Price Difference %</t>
        </is>
      </c>
      <c r="E65" s="30" t="inlineStr">
        <is>
          <t>Relative price difference across geographic areas.</t>
        </is>
      </c>
      <c r="F65" s="30" t="inlineStr">
        <is>
          <t>(Regional Price / Reference Price - 1) * 100</t>
        </is>
      </c>
      <c r="G65" s="30" t="inlineStr">
        <is>
          <t>%</t>
        </is>
      </c>
      <c r="H65" s="30" t="inlineStr">
        <is>
          <t>Weekly / Monthly / Source-dependent</t>
        </is>
      </c>
      <c r="I65" s="30" t="inlineStr">
        <is>
          <t>Date; Product; Unit; Market; Municipality; Province; Region</t>
        </is>
      </c>
      <c r="J65" s="30" t="inlineStr">
        <is>
          <t>Product; price; date; location; unit</t>
        </is>
      </c>
      <c r="K65" s="30" t="inlineStr">
        <is>
          <t>Ministry of Agriculture / public data source (to validate)</t>
        </is>
      </c>
      <c r="L65" s="30" t="inlineStr">
        <is>
          <t>gold.agricultural_price_metrics</t>
        </is>
      </c>
      <c r="M65" s="30" t="inlineStr">
        <is>
          <t>Agricultural Prices</t>
        </is>
      </c>
      <c r="N65" s="30" t="inlineStr">
        <is>
          <t>MVP</t>
        </is>
      </c>
      <c r="O65" s="30" t="inlineStr">
        <is>
          <t>Proposed</t>
        </is>
      </c>
      <c r="P65" s="30" t="inlineStr">
        <is>
          <t>Requires unit and market-level comparability validation.</t>
        </is>
      </c>
    </row>
    <row r="66">
      <c r="A66" s="30" t="inlineStr">
        <is>
          <t>ENE-001</t>
        </is>
      </c>
      <c r="B66" s="30" t="inlineStr">
        <is>
          <t>Energy / Electricity</t>
        </is>
      </c>
      <c r="C66" s="30" t="inlineStr">
        <is>
          <t>How are electricity and energy costs evolving?</t>
        </is>
      </c>
      <c r="D66" s="30" t="inlineStr">
        <is>
          <t>Electricity Tariff</t>
        </is>
      </c>
      <c r="E66" s="30" t="inlineStr">
        <is>
          <t>Published tariff applicable to the selected customer/tariff category.</t>
        </is>
      </c>
      <c r="F66" s="30" t="inlineStr">
        <is>
          <t>Published tariff</t>
        </is>
      </c>
      <c r="G66" s="30" t="inlineStr">
        <is>
          <t>DOP/kWh or source unit</t>
        </is>
      </c>
      <c r="H66" s="30" t="inlineStr">
        <is>
          <t>Monthly / Source-dependent</t>
        </is>
      </c>
      <c r="I66" s="30" t="inlineStr">
        <is>
          <t>Date; Tariff Category; Distributor/Region (if available)</t>
        </is>
      </c>
      <c r="J66" s="30" t="inlineStr">
        <is>
          <t>Tariff; category; date; unit</t>
        </is>
      </c>
      <c r="K66" s="30" t="inlineStr">
        <is>
          <t>SIE / EDEs / official source (to validate)</t>
        </is>
      </c>
      <c r="L66" s="30" t="inlineStr">
        <is>
          <t>gold.energy_price_metrics</t>
        </is>
      </c>
      <c r="M66" s="30" t="inlineStr">
        <is>
          <t>Energy &amp; Electricity</t>
        </is>
      </c>
      <c r="N66" s="30" t="inlineStr">
        <is>
          <t>Phase 2</t>
        </is>
      </c>
      <c r="O66" s="30" t="inlineStr">
        <is>
          <t>Pending Source Validation</t>
        </is>
      </c>
      <c r="P66" s="30" t="inlineStr">
        <is>
          <t>Scope depends on historical source availability and tariff comparability.</t>
        </is>
      </c>
    </row>
    <row r="67">
      <c r="A67" s="30" t="inlineStr">
        <is>
          <t>ENE-002</t>
        </is>
      </c>
      <c r="B67" s="30" t="inlineStr">
        <is>
          <t>Energy / Electricity</t>
        </is>
      </c>
      <c r="C67" s="30" t="inlineStr">
        <is>
          <t>How are electricity and energy costs evolving?</t>
        </is>
      </c>
      <c r="D67" s="30" t="inlineStr">
        <is>
          <t>MoM Tariff Change %</t>
        </is>
      </c>
      <c r="E67" s="30" t="inlineStr">
        <is>
          <t>Monthly percentage change in comparable tariff.</t>
        </is>
      </c>
      <c r="F67" s="30" t="inlineStr">
        <is>
          <t>(Tariff_t / Tariff_prev_month - 1) * 100</t>
        </is>
      </c>
      <c r="G67" s="30" t="inlineStr">
        <is>
          <t>%</t>
        </is>
      </c>
      <c r="H67" s="30" t="inlineStr">
        <is>
          <t>Monthly / Source-dependent</t>
        </is>
      </c>
      <c r="I67" s="30" t="inlineStr">
        <is>
          <t>Date; Tariff Category; Distributor/Region (if available)</t>
        </is>
      </c>
      <c r="J67" s="30" t="inlineStr">
        <is>
          <t>Tariff; category; date; unit</t>
        </is>
      </c>
      <c r="K67" s="30" t="inlineStr">
        <is>
          <t>SIE / EDEs / official source (to validate)</t>
        </is>
      </c>
      <c r="L67" s="30" t="inlineStr">
        <is>
          <t>gold.energy_price_metrics</t>
        </is>
      </c>
      <c r="M67" s="30" t="inlineStr">
        <is>
          <t>Energy &amp; Electricity</t>
        </is>
      </c>
      <c r="N67" s="30" t="inlineStr">
        <is>
          <t>Phase 2</t>
        </is>
      </c>
      <c r="O67" s="30" t="inlineStr">
        <is>
          <t>Pending Source Validation</t>
        </is>
      </c>
      <c r="P67" s="30" t="inlineStr">
        <is>
          <t>Scope depends on historical source availability and tariff comparability.</t>
        </is>
      </c>
    </row>
    <row r="68">
      <c r="A68" s="30" t="inlineStr">
        <is>
          <t>ENE-003</t>
        </is>
      </c>
      <c r="B68" s="30" t="inlineStr">
        <is>
          <t>Energy / Electricity</t>
        </is>
      </c>
      <c r="C68" s="30" t="inlineStr">
        <is>
          <t>How are electricity and energy costs evolving?</t>
        </is>
      </c>
      <c r="D68" s="30" t="inlineStr">
        <is>
          <t>YoY Tariff Change %</t>
        </is>
      </c>
      <c r="E68" s="30" t="inlineStr">
        <is>
          <t>Year-over-year percentage change in comparable tariff.</t>
        </is>
      </c>
      <c r="F68" s="30" t="inlineStr">
        <is>
          <t>(Tariff_t / Tariff_t-1year - 1) * 100</t>
        </is>
      </c>
      <c r="G68" s="30" t="inlineStr">
        <is>
          <t>%</t>
        </is>
      </c>
      <c r="H68" s="30" t="inlineStr">
        <is>
          <t>Monthly / Source-dependent</t>
        </is>
      </c>
      <c r="I68" s="30" t="inlineStr">
        <is>
          <t>Date; Tariff Category; Distributor/Region (if available)</t>
        </is>
      </c>
      <c r="J68" s="30" t="inlineStr">
        <is>
          <t>Tariff; category; date; unit</t>
        </is>
      </c>
      <c r="K68" s="30" t="inlineStr">
        <is>
          <t>SIE / EDEs / official source (to validate)</t>
        </is>
      </c>
      <c r="L68" s="30" t="inlineStr">
        <is>
          <t>gold.energy_price_metrics</t>
        </is>
      </c>
      <c r="M68" s="30" t="inlineStr">
        <is>
          <t>Energy &amp; Electricity</t>
        </is>
      </c>
      <c r="N68" s="30" t="inlineStr">
        <is>
          <t>Phase 2</t>
        </is>
      </c>
      <c r="O68" s="30" t="inlineStr">
        <is>
          <t>Pending Source Validation</t>
        </is>
      </c>
      <c r="P68" s="30" t="inlineStr">
        <is>
          <t>Scope depends on historical source availability and tariff comparability.</t>
        </is>
      </c>
    </row>
    <row r="69">
      <c r="A69" s="30" t="inlineStr">
        <is>
          <t>ENE-004</t>
        </is>
      </c>
      <c r="B69" s="30" t="inlineStr">
        <is>
          <t>Energy / Electricity</t>
        </is>
      </c>
      <c r="C69" s="30" t="inlineStr">
        <is>
          <t>How are electricity and energy costs evolving?</t>
        </is>
      </c>
      <c r="D69" s="30" t="inlineStr">
        <is>
          <t>YTD Tariff Change %</t>
        </is>
      </c>
      <c r="E69" s="30" t="inlineStr">
        <is>
          <t>Percentage change versus prior-year-end tariff.</t>
        </is>
      </c>
      <c r="F69" s="30" t="inlineStr">
        <is>
          <t>(Tariff_t / Tariff_last_prev_year - 1) * 100</t>
        </is>
      </c>
      <c r="G69" s="30" t="inlineStr">
        <is>
          <t>%</t>
        </is>
      </c>
      <c r="H69" s="30" t="inlineStr">
        <is>
          <t>Monthly / Source-dependent</t>
        </is>
      </c>
      <c r="I69" s="30" t="inlineStr">
        <is>
          <t>Date; Tariff Category; Distributor/Region (if available)</t>
        </is>
      </c>
      <c r="J69" s="30" t="inlineStr">
        <is>
          <t>Tariff; category; date; unit</t>
        </is>
      </c>
      <c r="K69" s="30" t="inlineStr">
        <is>
          <t>SIE / EDEs / official source (to validate)</t>
        </is>
      </c>
      <c r="L69" s="30" t="inlineStr">
        <is>
          <t>gold.energy_price_metrics</t>
        </is>
      </c>
      <c r="M69" s="30" t="inlineStr">
        <is>
          <t>Energy &amp; Electricity</t>
        </is>
      </c>
      <c r="N69" s="30" t="inlineStr">
        <is>
          <t>Phase 2</t>
        </is>
      </c>
      <c r="O69" s="30" t="inlineStr">
        <is>
          <t>Pending Source Validation</t>
        </is>
      </c>
      <c r="P69" s="30" t="inlineStr">
        <is>
          <t>Scope depends on historical source availability and tariff comparability.</t>
        </is>
      </c>
    </row>
    <row r="70">
      <c r="A70" s="30" t="inlineStr">
        <is>
          <t>ENE-005</t>
        </is>
      </c>
      <c r="B70" s="30" t="inlineStr">
        <is>
          <t>Energy / Electricity</t>
        </is>
      </c>
      <c r="C70" s="30" t="inlineStr">
        <is>
          <t>How are electricity and energy costs evolving?</t>
        </is>
      </c>
      <c r="D70" s="30" t="inlineStr">
        <is>
          <t>Average Cost per kWh</t>
        </is>
      </c>
      <c r="E70" s="30" t="inlineStr">
        <is>
          <t>Average comparable electricity cost per kWh for selected category.</t>
        </is>
      </c>
      <c r="F70" s="30" t="inlineStr">
        <is>
          <t>AVG(cost_per_kWh) where concept is comparable</t>
        </is>
      </c>
      <c r="G70" s="30" t="inlineStr">
        <is>
          <t>DOP/kWh</t>
        </is>
      </c>
      <c r="H70" s="30" t="inlineStr">
        <is>
          <t>Monthly / Source-dependent</t>
        </is>
      </c>
      <c r="I70" s="30" t="inlineStr">
        <is>
          <t>Date; Tariff Category; Distributor/Region (if available)</t>
        </is>
      </c>
      <c r="J70" s="30" t="inlineStr">
        <is>
          <t>Tariff; category; date; unit</t>
        </is>
      </c>
      <c r="K70" s="30" t="inlineStr">
        <is>
          <t>SIE / EDEs / official source (to validate)</t>
        </is>
      </c>
      <c r="L70" s="30" t="inlineStr">
        <is>
          <t>gold.energy_price_metrics</t>
        </is>
      </c>
      <c r="M70" s="30" t="inlineStr">
        <is>
          <t>Energy &amp; Electricity</t>
        </is>
      </c>
      <c r="N70" s="30" t="inlineStr">
        <is>
          <t>Phase 2</t>
        </is>
      </c>
      <c r="O70" s="30" t="inlineStr">
        <is>
          <t>Pending Source Validation</t>
        </is>
      </c>
      <c r="P70" s="30" t="inlineStr">
        <is>
          <t>Scope depends on historical source availability and tariff comparability.</t>
        </is>
      </c>
    </row>
    <row r="71">
      <c r="A71" s="30" t="inlineStr">
        <is>
          <t>HOU-001</t>
        </is>
      </c>
      <c r="B71" s="30" t="inlineStr">
        <is>
          <t>Housing / Rentals</t>
        </is>
      </c>
      <c r="C71" s="30" t="inlineStr">
        <is>
          <t>How are rental prices and housing costs evolving?</t>
        </is>
      </c>
      <c r="D71" s="30" t="inlineStr">
        <is>
          <t>Median Rental Asking Price</t>
        </is>
      </c>
      <c r="E71" s="30" t="inlineStr">
        <is>
          <t>Median observed asking rent for comparable properties within a geography/property segment.</t>
        </is>
      </c>
      <c r="F71" s="30" t="inlineStr">
        <is>
          <t>MEDIAN(asking_rent)</t>
        </is>
      </c>
      <c r="G71" s="30" t="inlineStr">
        <is>
          <t>DOP/month</t>
        </is>
      </c>
      <c r="H71" s="30" t="inlineStr">
        <is>
          <t>Monthly / Source-dependent</t>
        </is>
      </c>
      <c r="I71" s="30" t="inlineStr">
        <is>
          <t>Date; Property Type; Bedrooms; Municipality; Sector</t>
        </is>
      </c>
      <c r="J71" s="30" t="inlineStr">
        <is>
          <t>Asking rent; date; property attributes; location</t>
        </is>
      </c>
      <c r="K71" s="30" t="inlineStr">
        <is>
          <t>TBD — legally/technically appropriate source</t>
        </is>
      </c>
      <c r="L71" s="30" t="inlineStr">
        <is>
          <t>gold.housing_price_metrics</t>
        </is>
      </c>
      <c r="M71" s="30" t="inlineStr">
        <is>
          <t>Housing &amp; Cost of Living</t>
        </is>
      </c>
      <c r="N71" s="30" t="inlineStr">
        <is>
          <t>Phase 2</t>
        </is>
      </c>
      <c r="O71" s="30" t="inlineStr">
        <is>
          <t>Pending Source Validation</t>
        </is>
      </c>
      <c r="P71" s="30" t="inlineStr">
        <is>
          <t>Do not use unauthorized scraping; source feasibility must be established first.</t>
        </is>
      </c>
    </row>
    <row r="72">
      <c r="A72" s="30" t="inlineStr">
        <is>
          <t>COL-001</t>
        </is>
      </c>
      <c r="B72" s="30" t="inlineStr">
        <is>
          <t>Cost of Living</t>
        </is>
      </c>
      <c r="C72" s="30" t="inlineStr">
        <is>
          <t>How is the overall cost-of-living environment changing?</t>
        </is>
      </c>
      <c r="D72" s="30" t="inlineStr">
        <is>
          <t>Family Basket Cost</t>
        </is>
      </c>
      <c r="E72" s="30" t="inlineStr">
        <is>
          <t>Monthly cost in DOP of the BCRD family basket for the national household, each income quintile and each region.</t>
        </is>
      </c>
      <c r="F72" s="30" t="inlineStr">
        <is>
          <t>Published BCRD value</t>
        </is>
      </c>
      <c r="G72" s="30" t="inlineStr">
        <is>
          <t>DOP/month</t>
        </is>
      </c>
      <c r="H72" s="30" t="inlineStr">
        <is>
          <t>Monthly</t>
        </is>
      </c>
      <c r="I72" s="30" t="inlineStr">
        <is>
          <t>Date; Segment type; Segment (quintile, national, region)</t>
        </is>
      </c>
      <c r="J72" s="30" t="inlineStr">
        <is>
          <t>Basket cost by segment</t>
        </is>
      </c>
      <c r="K72" s="30" t="inlineStr">
        <is>
          <t>BCRD — Costo de la Canasta Familiar (validated 2026-10-23)</t>
        </is>
      </c>
      <c r="L72" s="30" t="inlineStr">
        <is>
          <t>gold.cost_of_living_metrics</t>
        </is>
      </c>
      <c r="M72" s="30" t="inlineStr">
        <is>
          <t>Cost of Living</t>
        </is>
      </c>
      <c r="N72" s="30" t="inlineStr">
        <is>
          <t>MVP</t>
        </is>
      </c>
      <c r="O72" s="30" t="inlineStr">
        <is>
          <t>Validated</t>
        </is>
      </c>
      <c r="P72" s="30" t="inlineStr">
        <is>
          <t>ENGIH-2018 basket indexed by CPI. Quintile/national values before Oct-2020 are a BCRD retropolation (flagged).</t>
        </is>
      </c>
    </row>
    <row r="73">
      <c r="A73" s="30" t="inlineStr">
        <is>
          <t>COL-002</t>
        </is>
      </c>
      <c r="B73" s="30" t="inlineStr">
        <is>
          <t>Cost of Living</t>
        </is>
      </c>
      <c r="C73" s="30" t="inlineStr">
        <is>
          <t>How is the overall cost-of-living environment changing?</t>
        </is>
      </c>
      <c r="D73" s="30" t="inlineStr">
        <is>
          <t>Basket Cost YoY %</t>
        </is>
      </c>
      <c r="E73" s="30" t="inlineStr">
        <is>
          <t>Change in basket cost versus the same month one year earlier.</t>
        </is>
      </c>
      <c r="F73" s="30" t="inlineStr">
        <is>
          <t>(Cost_t / Cost_t-12 - 1) * 100</t>
        </is>
      </c>
      <c r="G73" s="30" t="inlineStr">
        <is>
          <t>%</t>
        </is>
      </c>
      <c r="H73" s="30" t="inlineStr">
        <is>
          <t>Monthly</t>
        </is>
      </c>
      <c r="I73" s="30" t="inlineStr">
        <is>
          <t>Date; Segment type; Segment</t>
        </is>
      </c>
      <c r="J73" s="30" t="inlineStr">
        <is>
          <t>Basket cost history</t>
        </is>
      </c>
      <c r="K73" s="30" t="inlineStr">
        <is>
          <t>BCRD — Costo de la Canasta Familiar (validated 2026-10-23)</t>
        </is>
      </c>
      <c r="L73" s="30" t="inlineStr">
        <is>
          <t>gold.cost_of_living_metrics</t>
        </is>
      </c>
      <c r="M73" s="30" t="inlineStr">
        <is>
          <t>Cost of Living</t>
        </is>
      </c>
      <c r="N73" s="30" t="inlineStr">
        <is>
          <t>MVP</t>
        </is>
      </c>
      <c r="O73" s="30" t="inlineStr">
        <is>
          <t>Validated</t>
        </is>
      </c>
      <c r="P73" s="30" t="inlineStr">
        <is>
          <t>National and regional values equal headline/regional CPI inflation (basket is CPI-indexed); the added value is the DOP level and the income-quintile view. Flag uses_retropolated_value.</t>
        </is>
      </c>
    </row>
    <row r="74">
      <c r="A74" s="30" t="inlineStr">
        <is>
          <t>COL-003</t>
        </is>
      </c>
      <c r="B74" s="30" t="inlineStr">
        <is>
          <t>Cost of Living</t>
        </is>
      </c>
      <c r="C74" s="30" t="inlineStr">
        <is>
          <t>How is the overall cost-of-living environment changing?</t>
        </is>
      </c>
      <c r="D74" s="30" t="inlineStr">
        <is>
          <t>Quintile 5 vs Quintile 1 Gap</t>
        </is>
      </c>
      <c r="E74" s="30" t="inlineStr">
        <is>
          <t>Difference and ratio between the basket cost of the richest (Q5) and poorest (Q1) income quintile in the same month.</t>
        </is>
      </c>
      <c r="F74" s="30" t="inlineStr">
        <is>
          <t>Q5 - Q1 (DOP); Q5 / Q1 (ratio)</t>
        </is>
      </c>
      <c r="G74" s="30" t="inlineStr">
        <is>
          <t>DOP; ratio</t>
        </is>
      </c>
      <c r="H74" s="30" t="inlineStr">
        <is>
          <t>Monthly</t>
        </is>
      </c>
      <c r="I74" s="30" t="inlineStr">
        <is>
          <t>Date</t>
        </is>
      </c>
      <c r="J74" s="30" t="inlineStr">
        <is>
          <t>Basket cost Q1 and Q5</t>
        </is>
      </c>
      <c r="K74" s="30" t="inlineStr">
        <is>
          <t>BCRD — Costo de la Canasta Familiar (validated 2026-10-23)</t>
        </is>
      </c>
      <c r="L74" s="30" t="inlineStr">
        <is>
          <t>gold.cost_of_living_metrics</t>
        </is>
      </c>
      <c r="M74" s="30" t="inlineStr">
        <is>
          <t>Cost of Living</t>
        </is>
      </c>
      <c r="N74" s="30" t="inlineStr">
        <is>
          <t>MVP</t>
        </is>
      </c>
      <c r="O74" s="30" t="inlineStr">
        <is>
          <t>Validated</t>
        </is>
      </c>
      <c r="P74" s="30" t="inlineStr">
        <is>
          <t>Month-level metric stored on the national row. Shows how household cost structure differs by income level.</t>
        </is>
      </c>
    </row>
  </sheetData>
  <mergeCells count="2">
    <mergeCell ref="A1:P1"/>
    <mergeCell ref="A2:P2"/>
  </mergeCells>
  <conditionalFormatting sqref="N5:N71">
    <cfRule type="expression" priority="1" dxfId="0">
      <formula>N5="MVP"</formula>
    </cfRule>
    <cfRule type="expression" priority="2" dxfId="1">
      <formula>N5="Phase 2"</formula>
    </cfRule>
  </conditionalFormatting>
  <conditionalFormatting sqref="O5:O71">
    <cfRule type="expression" priority="3" dxfId="2">
      <formula>O5="Pending Source Validation"</formula>
    </cfRule>
  </conditionalFormatting>
  <dataValidations count="2">
    <dataValidation sqref="N5:N71" showDropDown="0" showInputMessage="0" showErrorMessage="0" allowBlank="0" type="list">
      <formula1>"MVP,Phase 2,Future"</formula1>
    </dataValidation>
    <dataValidation sqref="O5:O71" showDropDown="0" showInputMessage="0" showErrorMessage="0" allowBlank="0" type="list">
      <formula1>"Proposed,Pending Source Validation,Validated,Deferred"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5" customWidth="1" min="3" max="3"/>
    <col width="14" customWidth="1" min="4" max="4"/>
    <col width="26" customWidth="1" min="5" max="5"/>
  </cols>
  <sheetData>
    <row r="1" ht="30" customHeight="1">
      <c r="A1" s="9" t="inlineStr">
        <is>
          <t>Business Questions Register</t>
        </is>
      </c>
      <c r="B1" s="1" t="n"/>
      <c r="C1" s="1" t="n"/>
      <c r="D1" s="1" t="n"/>
      <c r="E1" s="1" t="n"/>
    </row>
    <row r="2" ht="28" customHeight="1">
      <c r="A2" s="17" t="inlineStr">
        <is>
          <t>High-level analytical questions that drive data requirements, KPIs, future Gold datasets, and dashboard design.</t>
        </is>
      </c>
      <c r="B2" s="1" t="n"/>
      <c r="C2" s="1" t="n"/>
      <c r="D2" s="1" t="n"/>
      <c r="E2" s="1" t="n"/>
    </row>
    <row r="4">
      <c r="A4" s="22" t="inlineStr">
        <is>
          <t>Question_ID</t>
        </is>
      </c>
      <c r="B4" s="22" t="inlineStr">
        <is>
          <t>Domain</t>
        </is>
      </c>
      <c r="C4" s="22" t="inlineStr">
        <is>
          <t>Business_Question</t>
        </is>
      </c>
      <c r="D4" s="22" t="inlineStr">
        <is>
          <t>Priority</t>
        </is>
      </c>
      <c r="E4" s="22" t="inlineStr">
        <is>
          <t>Validation_Status</t>
        </is>
      </c>
    </row>
    <row r="5">
      <c r="A5" s="28" t="inlineStr">
        <is>
          <t>BQ-001</t>
        </is>
      </c>
      <c r="B5" s="28" t="inlineStr">
        <is>
          <t>Inflation &amp; CPI</t>
        </is>
      </c>
      <c r="C5" s="28" t="inlineStr">
        <is>
          <t>How is inflation evolving in the Dominican Republic?</t>
        </is>
      </c>
      <c r="D5" s="28" t="inlineStr">
        <is>
          <t>MVP</t>
        </is>
      </c>
      <c r="E5" s="28" t="inlineStr">
        <is>
          <t>Validated</t>
        </is>
      </c>
    </row>
    <row r="6">
      <c r="A6" s="28" t="inlineStr">
        <is>
          <t>BQ-002</t>
        </is>
      </c>
      <c r="B6" s="28" t="inlineStr">
        <is>
          <t>Inflation &amp; CPI</t>
        </is>
      </c>
      <c r="C6" s="28" t="inlineStr">
        <is>
          <t>Which expenditure groups are experiencing the greatest price changes?</t>
        </is>
      </c>
      <c r="D6" s="28" t="inlineStr">
        <is>
          <t>MVP</t>
        </is>
      </c>
      <c r="E6" s="28" t="inlineStr">
        <is>
          <t>Validated</t>
        </is>
      </c>
    </row>
    <row r="7">
      <c r="A7" s="28" t="inlineStr">
        <is>
          <t>BQ-003</t>
        </is>
      </c>
      <c r="B7" s="28" t="inlineStr">
        <is>
          <t>Foreign Exchange</t>
        </is>
      </c>
      <c r="C7" s="28" t="inlineStr">
        <is>
          <t>How is the Dominican peso performing against the U.S. dollar?</t>
        </is>
      </c>
      <c r="D7" s="28" t="inlineStr">
        <is>
          <t>MVP</t>
        </is>
      </c>
      <c r="E7" s="28" t="inlineStr">
        <is>
          <t>Validated</t>
        </is>
      </c>
    </row>
    <row r="8">
      <c r="A8" s="28" t="inlineStr">
        <is>
          <t>BQ-004</t>
        </is>
      </c>
      <c r="B8" s="28" t="inlineStr">
        <is>
          <t>Monetary Policy</t>
        </is>
      </c>
      <c r="C8" s="28" t="inlineStr">
        <is>
          <t>How has monetary policy evolved relative to inflation?</t>
        </is>
      </c>
      <c r="D8" s="28" t="inlineStr">
        <is>
          <t>MVP</t>
        </is>
      </c>
      <c r="E8" s="28" t="inlineStr">
        <is>
          <t>Proposed</t>
        </is>
      </c>
    </row>
    <row r="9">
      <c r="A9" s="28" t="inlineStr">
        <is>
          <t>BQ-005</t>
        </is>
      </c>
      <c r="B9" s="28" t="inlineStr">
        <is>
          <t>Fuel Market</t>
        </is>
      </c>
      <c r="C9" s="28" t="inlineStr">
        <is>
          <t>How are fuel prices evolving in the Dominican Republic?</t>
        </is>
      </c>
      <c r="D9" s="28" t="inlineStr">
        <is>
          <t>MVP</t>
        </is>
      </c>
      <c r="E9" s="28" t="inlineStr">
        <is>
          <t>Validated</t>
        </is>
      </c>
    </row>
    <row r="10">
      <c r="A10" s="28" t="inlineStr">
        <is>
          <t>BQ-006</t>
        </is>
      </c>
      <c r="B10" s="28" t="inlineStr">
        <is>
          <t>International Oil</t>
        </is>
      </c>
      <c r="C10" s="28" t="inlineStr">
        <is>
          <t>How are international oil prices evolving?</t>
        </is>
      </c>
      <c r="D10" s="28" t="inlineStr">
        <is>
          <t>MVP</t>
        </is>
      </c>
      <c r="E10" s="28" t="inlineStr">
        <is>
          <t>Proposed</t>
        </is>
      </c>
    </row>
    <row r="11">
      <c r="A11" s="28" t="inlineStr">
        <is>
          <t>BQ-007</t>
        </is>
      </c>
      <c r="B11" s="28" t="inlineStr">
        <is>
          <t>Economic Relationships</t>
        </is>
      </c>
      <c r="C11" s="28" t="inlineStr">
        <is>
          <t>How do international oil prices relate to Dominican fuel prices?</t>
        </is>
      </c>
      <c r="D11" s="28" t="inlineStr">
        <is>
          <t>MVP</t>
        </is>
      </c>
      <c r="E11" s="28" t="inlineStr">
        <is>
          <t>Proposed</t>
        </is>
      </c>
    </row>
    <row r="12">
      <c r="A12" s="28" t="inlineStr">
        <is>
          <t>BQ-008</t>
        </is>
      </c>
      <c r="B12" s="28" t="inlineStr">
        <is>
          <t>Consumer / Basic Basket</t>
        </is>
      </c>
      <c r="C12" s="28" t="inlineStr">
        <is>
          <t>Which products are contributing most to changes in household purchasing costs?</t>
        </is>
      </c>
      <c r="D12" s="28" t="inlineStr">
        <is>
          <t>MVP</t>
        </is>
      </c>
      <c r="E12" s="28" t="inlineStr">
        <is>
          <t>Partially Validated</t>
        </is>
      </c>
    </row>
    <row r="13">
      <c r="A13" s="28" t="inlineStr">
        <is>
          <t>BQ-009</t>
        </is>
      </c>
      <c r="B13" s="28" t="inlineStr">
        <is>
          <t>Agricultural Prices</t>
        </is>
      </c>
      <c r="C13" s="28" t="inlineStr">
        <is>
          <t>Which agricultural products have experienced the greatest price changes, volatility, or seasonality?</t>
        </is>
      </c>
      <c r="D13" s="28" t="inlineStr">
        <is>
          <t>MVP</t>
        </is>
      </c>
      <c r="E13" s="28" t="inlineStr">
        <is>
          <t>Proposed</t>
        </is>
      </c>
    </row>
    <row r="14">
      <c r="A14" s="28" t="inlineStr">
        <is>
          <t>BQ-010</t>
        </is>
      </c>
      <c r="B14" s="28" t="inlineStr">
        <is>
          <t>Energy / Electricity</t>
        </is>
      </c>
      <c r="C14" s="28" t="inlineStr">
        <is>
          <t>How are electricity and energy costs evolving?</t>
        </is>
      </c>
      <c r="D14" s="28" t="inlineStr">
        <is>
          <t>Phase 2</t>
        </is>
      </c>
      <c r="E14" s="28" t="inlineStr">
        <is>
          <t>Pending Source Validation</t>
        </is>
      </c>
    </row>
    <row r="15">
      <c r="A15" s="28" t="inlineStr">
        <is>
          <t>BQ-011</t>
        </is>
      </c>
      <c r="B15" s="28" t="inlineStr">
        <is>
          <t>Housing / Rentals</t>
        </is>
      </c>
      <c r="C15" s="28" t="inlineStr">
        <is>
          <t>How are rental prices and housing costs evolving?</t>
        </is>
      </c>
      <c r="D15" s="28" t="inlineStr">
        <is>
          <t>Phase 2</t>
        </is>
      </c>
      <c r="E15" s="28" t="inlineStr">
        <is>
          <t>Pending Source Validation</t>
        </is>
      </c>
    </row>
    <row r="16">
      <c r="A16" s="28" t="inlineStr">
        <is>
          <t>BQ-012</t>
        </is>
      </c>
      <c r="B16" s="28" t="inlineStr">
        <is>
          <t>Cross-Domain</t>
        </is>
      </c>
      <c r="C16" s="28" t="inlineStr">
        <is>
          <t>How do FX movements compare with domestic inflation and selected local prices?</t>
        </is>
      </c>
      <c r="D16" s="28" t="inlineStr">
        <is>
          <t>Phase 2</t>
        </is>
      </c>
      <c r="E16" s="28" t="inlineStr">
        <is>
          <t>Proposed</t>
        </is>
      </c>
    </row>
    <row r="17">
      <c r="A17" s="28" t="inlineStr">
        <is>
          <t>BQ-013</t>
        </is>
      </c>
      <c r="B17" s="28" t="inlineStr">
        <is>
          <t>Cross-Domain</t>
        </is>
      </c>
      <c r="C17" s="28" t="inlineStr">
        <is>
          <t>How is the overall cost-of-living environment changing?</t>
        </is>
      </c>
      <c r="D17" s="28" t="inlineStr">
        <is>
          <t>MVP</t>
        </is>
      </c>
      <c r="E17" s="28" t="inlineStr">
        <is>
          <t>Validated</t>
        </is>
      </c>
    </row>
  </sheetData>
  <mergeCells count="2">
    <mergeCell ref="A2:E2"/>
    <mergeCell ref="A1:E1"/>
  </mergeCells>
  <dataValidations count="2">
    <dataValidation sqref="D5:D17" showDropDown="0" showInputMessage="0" showErrorMessage="0" allowBlank="0" type="list">
      <formula1>"MVP,Phase 2,Future"</formula1>
    </dataValidation>
    <dataValidation sqref="E5:E17" showDropDown="0" showInputMessage="0" showErrorMessage="0" allowBlank="0" type="list">
      <formula1>"Proposed,Pending Source Validation,Validated,Deferred"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4" customWidth="1" min="5" max="5"/>
    <col width="28" customWidth="1" min="6" max="6"/>
    <col width="32" customWidth="1" min="7" max="7"/>
  </cols>
  <sheetData>
    <row r="1" ht="30" customHeight="1">
      <c r="A1" s="33" t="inlineStr">
        <is>
          <t>Domain Summary</t>
        </is>
      </c>
      <c r="B1" s="1" t="n"/>
      <c r="C1" s="1" t="n"/>
      <c r="D1" s="1" t="n"/>
      <c r="E1" s="1" t="n"/>
      <c r="F1" s="1" t="n"/>
      <c r="G1" s="1" t="n"/>
    </row>
    <row r="2" ht="28" customHeight="1">
      <c r="A2" s="17" t="inlineStr">
        <is>
          <t>Portfolio-level summary of KPI coverage by analytical domain. Counts are calculated from the KPI Catalog.</t>
        </is>
      </c>
      <c r="B2" s="1" t="n"/>
      <c r="C2" s="1" t="n"/>
      <c r="D2" s="1" t="n"/>
      <c r="E2" s="1" t="n"/>
      <c r="F2" s="1" t="n"/>
      <c r="G2" s="1" t="n"/>
    </row>
    <row r="4">
      <c r="A4" s="22" t="inlineStr">
        <is>
          <t>Domain</t>
        </is>
      </c>
      <c r="B4" s="22" t="inlineStr">
        <is>
          <t>Total KPIs</t>
        </is>
      </c>
      <c r="C4" s="22" t="inlineStr">
        <is>
          <t>MVP KPIs</t>
        </is>
      </c>
      <c r="D4" s="22" t="inlineStr">
        <is>
          <t>Phase 2 KPIs</t>
        </is>
      </c>
      <c r="E4" s="22" t="inlineStr">
        <is>
          <t>Proposed</t>
        </is>
      </c>
      <c r="F4" s="22" t="inlineStr">
        <is>
          <t>Pending Source Validation</t>
        </is>
      </c>
      <c r="G4" s="22" t="inlineStr">
        <is>
          <t>Primary Dashboard Page</t>
        </is>
      </c>
    </row>
    <row r="5">
      <c r="A5" t="inlineStr">
        <is>
          <t>Inflation &amp; CPI</t>
        </is>
      </c>
      <c r="B5">
        <f>COUNTIF(KPI_Catalog!$B$5:$B$200,A5)</f>
        <v/>
      </c>
      <c r="C5">
        <f>COUNTIFS(KPI_Catalog!$B$5:$B$200,A5,KPI_Catalog!$N$5:$N$200,"MVP")</f>
        <v/>
      </c>
      <c r="D5">
        <f>COUNTIFS(KPI_Catalog!$B$5:$B$200,A5,KPI_Catalog!$N$5:$N$200,"Phase 2")</f>
        <v/>
      </c>
      <c r="E5">
        <f>COUNTIFS(KPI_Catalog!$B$5:$B$200,A5,KPI_Catalog!$O$5:$O$200,"Proposed")</f>
        <v/>
      </c>
      <c r="F5">
        <f>COUNTIFS(KPI_Catalog!$B$5:$B$200,A5,KPI_Catalog!$O$5:$O$200,"Pending Source Validation")</f>
        <v/>
      </c>
      <c r="G5" t="inlineStr">
        <is>
          <t>Inflation &amp; CPI</t>
        </is>
      </c>
    </row>
    <row r="6">
      <c r="A6" t="inlineStr">
        <is>
          <t>Foreign Exchange</t>
        </is>
      </c>
      <c r="B6">
        <f>COUNTIF(KPI_Catalog!$B$5:$B$200,A6)</f>
        <v/>
      </c>
      <c r="C6">
        <f>COUNTIFS(KPI_Catalog!$B$5:$B$200,A6,KPI_Catalog!$N$5:$N$200,"MVP")</f>
        <v/>
      </c>
      <c r="D6">
        <f>COUNTIFS(KPI_Catalog!$B$5:$B$200,A6,KPI_Catalog!$N$5:$N$200,"Phase 2")</f>
        <v/>
      </c>
      <c r="E6">
        <f>COUNTIFS(KPI_Catalog!$B$5:$B$200,A6,KPI_Catalog!$O$5:$O$200,"Proposed")</f>
        <v/>
      </c>
      <c r="F6">
        <f>COUNTIFS(KPI_Catalog!$B$5:$B$200,A6,KPI_Catalog!$O$5:$O$200,"Pending Source Validation")</f>
        <v/>
      </c>
      <c r="G6" t="inlineStr">
        <is>
          <t>FX Market</t>
        </is>
      </c>
    </row>
    <row r="7">
      <c r="A7" t="inlineStr">
        <is>
          <t>Monetary Policy</t>
        </is>
      </c>
      <c r="B7">
        <f>COUNTIF(KPI_Catalog!$B$5:$B$200,A7)</f>
        <v/>
      </c>
      <c r="C7">
        <f>COUNTIFS(KPI_Catalog!$B$5:$B$200,A7,KPI_Catalog!$N$5:$N$200,"MVP")</f>
        <v/>
      </c>
      <c r="D7">
        <f>COUNTIFS(KPI_Catalog!$B$5:$B$200,A7,KPI_Catalog!$N$5:$N$200,"Phase 2")</f>
        <v/>
      </c>
      <c r="E7">
        <f>COUNTIFS(KPI_Catalog!$B$5:$B$200,A7,KPI_Catalog!$O$5:$O$200,"Proposed")</f>
        <v/>
      </c>
      <c r="F7">
        <f>COUNTIFS(KPI_Catalog!$B$5:$B$200,A7,KPI_Catalog!$O$5:$O$200,"Pending Source Validation")</f>
        <v/>
      </c>
      <c r="G7" t="inlineStr">
        <is>
          <t>Monetary Policy</t>
        </is>
      </c>
    </row>
    <row r="8">
      <c r="A8" t="inlineStr">
        <is>
          <t>Fuel Market</t>
        </is>
      </c>
      <c r="B8">
        <f>COUNTIF(KPI_Catalog!$B$5:$B$200,A8)</f>
        <v/>
      </c>
      <c r="C8">
        <f>COUNTIFS(KPI_Catalog!$B$5:$B$200,A8,KPI_Catalog!$N$5:$N$200,"MVP")</f>
        <v/>
      </c>
      <c r="D8">
        <f>COUNTIFS(KPI_Catalog!$B$5:$B$200,A8,KPI_Catalog!$N$5:$N$200,"Phase 2")</f>
        <v/>
      </c>
      <c r="E8">
        <f>COUNTIFS(KPI_Catalog!$B$5:$B$200,A8,KPI_Catalog!$O$5:$O$200,"Proposed")</f>
        <v/>
      </c>
      <c r="F8">
        <f>COUNTIFS(KPI_Catalog!$B$5:$B$200,A8,KPI_Catalog!$O$5:$O$200,"Pending Source Validation")</f>
        <v/>
      </c>
      <c r="G8" t="inlineStr">
        <is>
          <t>Fuel &amp; Oil Market</t>
        </is>
      </c>
    </row>
    <row r="9">
      <c r="A9" t="inlineStr">
        <is>
          <t>International Oil</t>
        </is>
      </c>
      <c r="B9">
        <f>COUNTIF(KPI_Catalog!$B$5:$B$200,A9)</f>
        <v/>
      </c>
      <c r="C9">
        <f>COUNTIFS(KPI_Catalog!$B$5:$B$200,A9,KPI_Catalog!$N$5:$N$200,"MVP")</f>
        <v/>
      </c>
      <c r="D9">
        <f>COUNTIFS(KPI_Catalog!$B$5:$B$200,A9,KPI_Catalog!$N$5:$N$200,"Phase 2")</f>
        <v/>
      </c>
      <c r="E9">
        <f>COUNTIFS(KPI_Catalog!$B$5:$B$200,A9,KPI_Catalog!$O$5:$O$200,"Proposed")</f>
        <v/>
      </c>
      <c r="F9">
        <f>COUNTIFS(KPI_Catalog!$B$5:$B$200,A9,KPI_Catalog!$O$5:$O$200,"Pending Source Validation")</f>
        <v/>
      </c>
      <c r="G9" t="inlineStr">
        <is>
          <t>Fuel &amp; Oil Market</t>
        </is>
      </c>
    </row>
    <row r="10">
      <c r="A10" t="inlineStr">
        <is>
          <t>Economic Relationships</t>
        </is>
      </c>
      <c r="B10">
        <f>COUNTIF(KPI_Catalog!$B$5:$B$200,A10)</f>
        <v/>
      </c>
      <c r="C10">
        <f>COUNTIFS(KPI_Catalog!$B$5:$B$200,A10,KPI_Catalog!$N$5:$N$200,"MVP")</f>
        <v/>
      </c>
      <c r="D10">
        <f>COUNTIFS(KPI_Catalog!$B$5:$B$200,A10,KPI_Catalog!$N$5:$N$200,"Phase 2")</f>
        <v/>
      </c>
      <c r="E10">
        <f>COUNTIFS(KPI_Catalog!$B$5:$B$200,A10,KPI_Catalog!$O$5:$O$200,"Proposed")</f>
        <v/>
      </c>
      <c r="F10">
        <f>COUNTIFS(KPI_Catalog!$B$5:$B$200,A10,KPI_Catalog!$O$5:$O$200,"Pending Source Validation")</f>
        <v/>
      </c>
      <c r="G10" t="inlineStr">
        <is>
          <t>Economic Relationships</t>
        </is>
      </c>
    </row>
    <row r="11">
      <c r="A11" t="inlineStr">
        <is>
          <t>Consumer / Basic Basket</t>
        </is>
      </c>
      <c r="B11">
        <f>COUNTIF(KPI_Catalog!$B$5:$B$200,A11)</f>
        <v/>
      </c>
      <c r="C11">
        <f>COUNTIFS(KPI_Catalog!$B$5:$B$200,A11,KPI_Catalog!$N$5:$N$200,"MVP")</f>
        <v/>
      </c>
      <c r="D11">
        <f>COUNTIFS(KPI_Catalog!$B$5:$B$200,A11,KPI_Catalog!$N$5:$N$200,"Phase 2")</f>
        <v/>
      </c>
      <c r="E11">
        <f>COUNTIFS(KPI_Catalog!$B$5:$B$200,A11,KPI_Catalog!$O$5:$O$200,"Proposed")</f>
        <v/>
      </c>
      <c r="F11">
        <f>COUNTIFS(KPI_Catalog!$B$5:$B$200,A11,KPI_Catalog!$O$5:$O$200,"Pending Source Validation")</f>
        <v/>
      </c>
      <c r="G11" t="inlineStr">
        <is>
          <t>Basic Basket &amp; Consumer Prices</t>
        </is>
      </c>
    </row>
    <row r="12">
      <c r="A12" t="inlineStr">
        <is>
          <t>Agricultural Prices</t>
        </is>
      </c>
      <c r="B12">
        <f>COUNTIF(KPI_Catalog!$B$5:$B$200,A12)</f>
        <v/>
      </c>
      <c r="C12">
        <f>COUNTIFS(KPI_Catalog!$B$5:$B$200,A12,KPI_Catalog!$N$5:$N$200,"MVP")</f>
        <v/>
      </c>
      <c r="D12">
        <f>COUNTIFS(KPI_Catalog!$B$5:$B$200,A12,KPI_Catalog!$N$5:$N$200,"Phase 2")</f>
        <v/>
      </c>
      <c r="E12">
        <f>COUNTIFS(KPI_Catalog!$B$5:$B$200,A12,KPI_Catalog!$O$5:$O$200,"Proposed")</f>
        <v/>
      </c>
      <c r="F12">
        <f>COUNTIFS(KPI_Catalog!$B$5:$B$200,A12,KPI_Catalog!$O$5:$O$200,"Pending Source Validation")</f>
        <v/>
      </c>
      <c r="G12" t="inlineStr">
        <is>
          <t>Agricultural Prices</t>
        </is>
      </c>
    </row>
    <row r="13">
      <c r="A13" t="inlineStr">
        <is>
          <t>Energy / Electricity</t>
        </is>
      </c>
      <c r="B13">
        <f>COUNTIF(KPI_Catalog!$B$5:$B$200,A13)</f>
        <v/>
      </c>
      <c r="C13">
        <f>COUNTIFS(KPI_Catalog!$B$5:$B$200,A13,KPI_Catalog!$N$5:$N$200,"MVP")</f>
        <v/>
      </c>
      <c r="D13">
        <f>COUNTIFS(KPI_Catalog!$B$5:$B$200,A13,KPI_Catalog!$N$5:$N$200,"Phase 2")</f>
        <v/>
      </c>
      <c r="E13">
        <f>COUNTIFS(KPI_Catalog!$B$5:$B$200,A13,KPI_Catalog!$O$5:$O$200,"Proposed")</f>
        <v/>
      </c>
      <c r="F13">
        <f>COUNTIFS(KPI_Catalog!$B$5:$B$200,A13,KPI_Catalog!$O$5:$O$200,"Pending Source Validation")</f>
        <v/>
      </c>
      <c r="G13" t="inlineStr">
        <is>
          <t>Energy &amp; Electricity</t>
        </is>
      </c>
    </row>
    <row r="14">
      <c r="A14" t="inlineStr">
        <is>
          <t>Housing / Rentals</t>
        </is>
      </c>
      <c r="B14">
        <f>COUNTIF(KPI_Catalog!$B$5:$B$200,A14)</f>
        <v/>
      </c>
      <c r="C14">
        <f>COUNTIFS(KPI_Catalog!$B$5:$B$200,A14,KPI_Catalog!$N$5:$N$200,"MVP")</f>
        <v/>
      </c>
      <c r="D14">
        <f>COUNTIFS(KPI_Catalog!$B$5:$B$200,A14,KPI_Catalog!$N$5:$N$200,"Phase 2")</f>
        <v/>
      </c>
      <c r="E14">
        <f>COUNTIFS(KPI_Catalog!$B$5:$B$200,A14,KPI_Catalog!$O$5:$O$200,"Proposed")</f>
        <v/>
      </c>
      <c r="F14">
        <f>COUNTIFS(KPI_Catalog!$B$5:$B$200,A14,KPI_Catalog!$O$5:$O$200,"Pending Source Validation")</f>
        <v/>
      </c>
      <c r="G14" t="inlineStr">
        <is>
          <t>Housing &amp; Cost of Living</t>
        </is>
      </c>
    </row>
    <row r="15">
      <c r="A15" t="inlineStr">
        <is>
          <t>Cost of Living</t>
        </is>
      </c>
      <c r="B15">
        <f>COUNTIF(KPI_Catalog!$B$5:$B$200,A15)</f>
        <v/>
      </c>
      <c r="C15">
        <f>COUNTIFS(KPI_Catalog!$B$5:$B$200,A15,KPI_Catalog!$N$5:$N$200,"MVP")</f>
        <v/>
      </c>
      <c r="D15">
        <f>COUNTIFS(KPI_Catalog!$B$5:$B$200,A15,KPI_Catalog!$N$5:$N$200,"Phase 2")</f>
        <v/>
      </c>
      <c r="E15">
        <f>COUNTIFS(KPI_Catalog!$B$5:$B$200,A15,KPI_Catalog!$O$5:$O$200,"Proposed")</f>
        <v/>
      </c>
      <c r="F15">
        <f>COUNTIFS(KPI_Catalog!$B$5:$B$200,A15,KPI_Catalog!$O$5:$O$200,"Pending Source Validation")</f>
        <v/>
      </c>
      <c r="G15" t="inlineStr">
        <is>
          <t>Cost of Living</t>
        </is>
      </c>
    </row>
  </sheetData>
  <mergeCells count="2">
    <mergeCell ref="A2:G2"/>
    <mergeCell ref="A1:G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2" customWidth="1" min="3" max="3"/>
  </cols>
  <sheetData>
    <row r="1" ht="30" customHeight="1">
      <c r="A1" s="9" t="inlineStr">
        <is>
          <t>Catalog Definitions &amp; Governance</t>
        </is>
      </c>
      <c r="B1" s="1" t="n"/>
      <c r="C1" s="1" t="n"/>
    </row>
    <row r="2" ht="28" customHeight="1">
      <c r="A2" s="17" t="inlineStr">
        <is>
          <t>Reference definitions for the fields and status values used in the KPI catalog.</t>
        </is>
      </c>
      <c r="B2" s="1" t="n"/>
      <c r="C2" s="1" t="n"/>
    </row>
    <row r="4">
      <c r="A4" s="34" t="inlineStr">
        <is>
          <t>Field</t>
        </is>
      </c>
      <c r="B4" s="34" t="inlineStr">
        <is>
          <t>Definition</t>
        </is>
      </c>
      <c r="C4" s="34" t="inlineStr">
        <is>
          <t>Guidance</t>
        </is>
      </c>
    </row>
    <row r="5">
      <c r="A5" s="28" t="inlineStr">
        <is>
          <t>KPI_ID</t>
        </is>
      </c>
      <c r="B5" s="28" t="inlineStr">
        <is>
          <t>Unique KPI identifier.</t>
        </is>
      </c>
      <c r="C5" s="28" t="inlineStr">
        <is>
          <t>Use domain prefix + sequential number (e.g., INF-001).</t>
        </is>
      </c>
    </row>
    <row r="6">
      <c r="A6" s="28" t="inlineStr">
        <is>
          <t>Domain</t>
        </is>
      </c>
      <c r="B6" s="28" t="inlineStr">
        <is>
          <t>Analytical subject area.</t>
        </is>
      </c>
      <c r="C6" s="28" t="inlineStr">
        <is>
          <t>Keep domains stable unless scope is formally changed.</t>
        </is>
      </c>
    </row>
    <row r="7">
      <c r="A7" s="28" t="inlineStr">
        <is>
          <t>Business_Question</t>
        </is>
      </c>
      <c r="B7" s="28" t="inlineStr">
        <is>
          <t>Question the KPI helps answer.</t>
        </is>
      </c>
      <c r="C7" s="28" t="inlineStr">
        <is>
          <t>Every KPI should trace to a business need/question.</t>
        </is>
      </c>
    </row>
    <row r="8">
      <c r="A8" s="28" t="inlineStr">
        <is>
          <t>KPI_Name</t>
        </is>
      </c>
      <c r="B8" s="28" t="inlineStr">
        <is>
          <t>Short business-friendly metric name.</t>
        </is>
      </c>
      <c r="C8" s="28" t="inlineStr">
        <is>
          <t>Prefer terminology that can appear on dashboards.</t>
        </is>
      </c>
    </row>
    <row r="9">
      <c r="A9" s="28" t="inlineStr">
        <is>
          <t>Business_Definition</t>
        </is>
      </c>
      <c r="B9" s="28" t="inlineStr">
        <is>
          <t>Plain-language definition.</t>
        </is>
      </c>
      <c r="C9" s="28" t="inlineStr">
        <is>
          <t>Describe meaning before technical calculation.</t>
        </is>
      </c>
    </row>
    <row r="10">
      <c r="A10" s="28" t="inlineStr">
        <is>
          <t>Calculation_Logic</t>
        </is>
      </c>
      <c r="B10" s="28" t="inlineStr">
        <is>
          <t>Proposed formula or derivation.</t>
        </is>
      </c>
      <c r="C10" s="28" t="inlineStr">
        <is>
          <t>Must be validated against source definitions and grain.</t>
        </is>
      </c>
    </row>
    <row r="11">
      <c r="A11" s="28" t="inlineStr">
        <is>
          <t>Unit</t>
        </is>
      </c>
      <c r="B11" s="28" t="inlineStr">
        <is>
          <t>Metric unit.</t>
        </is>
      </c>
      <c r="C11" s="28" t="inlineStr">
        <is>
          <t>Examples: %, DOP/USD, USD/barrel, Index.</t>
        </is>
      </c>
    </row>
    <row r="12">
      <c r="A12" s="28" t="inlineStr">
        <is>
          <t>Granularity</t>
        </is>
      </c>
      <c r="B12" s="28" t="inlineStr">
        <is>
          <t>Expected observation/analysis frequency.</t>
        </is>
      </c>
      <c r="C12" s="28" t="inlineStr">
        <is>
          <t>Examples: daily, weekly, monthly.</t>
        </is>
      </c>
    </row>
    <row r="13">
      <c r="A13" s="28" t="inlineStr">
        <is>
          <t>Dimensions</t>
        </is>
      </c>
      <c r="B13" s="28" t="inlineStr">
        <is>
          <t>Dimensions needed to slice/filter the KPI.</t>
        </is>
      </c>
      <c r="C13" s="28" t="inlineStr">
        <is>
          <t>Examples: date, fuel type, region, product.</t>
        </is>
      </c>
    </row>
    <row r="14">
      <c r="A14" s="28" t="inlineStr">
        <is>
          <t>Required_Data</t>
        </is>
      </c>
      <c r="B14" s="28" t="inlineStr">
        <is>
          <t>Minimum fields/series required.</t>
        </is>
      </c>
      <c r="C14" s="28" t="inlineStr">
        <is>
          <t>Validated during Data Source Assessment.</t>
        </is>
      </c>
    </row>
    <row r="15">
      <c r="A15" s="28" t="inlineStr">
        <is>
          <t>Expected_Source</t>
        </is>
      </c>
      <c r="B15" s="28" t="inlineStr">
        <is>
          <t>Likely source institution/provider.</t>
        </is>
      </c>
      <c r="C15" s="28" t="inlineStr">
        <is>
          <t>Provisional until source assessment is complete.</t>
        </is>
      </c>
    </row>
    <row r="16">
      <c r="A16" s="28" t="inlineStr">
        <is>
          <t>Gold_Dataset</t>
        </is>
      </c>
      <c r="B16" s="28" t="inlineStr">
        <is>
          <t>Candidate future Gold analytical dataset.</t>
        </is>
      </c>
      <c r="C16" s="28" t="inlineStr">
        <is>
          <t>Naming remains provisional until architecture/model design.</t>
        </is>
      </c>
    </row>
    <row r="17">
      <c r="A17" s="28" t="inlineStr">
        <is>
          <t>Dashboard_Page</t>
        </is>
      </c>
      <c r="B17" s="28" t="inlineStr">
        <is>
          <t>Candidate dashboard page.</t>
        </is>
      </c>
      <c r="C17" s="28" t="inlineStr">
        <is>
          <t>Used to maintain business-to-visual traceability.</t>
        </is>
      </c>
    </row>
    <row r="18">
      <c r="A18" s="28" t="inlineStr">
        <is>
          <t>Priority</t>
        </is>
      </c>
      <c r="B18" s="28" t="inlineStr">
        <is>
          <t>Delivery priority.</t>
        </is>
      </c>
      <c r="C18" s="28" t="inlineStr">
        <is>
          <t>MVP = initial release; Phase 2 = later enhancement.</t>
        </is>
      </c>
    </row>
    <row r="19">
      <c r="A19" s="28" t="inlineStr">
        <is>
          <t>Validation_Status</t>
        </is>
      </c>
      <c r="B19" s="28" t="inlineStr">
        <is>
          <t>Definition/source readiness.</t>
        </is>
      </c>
      <c r="C19" s="28" t="inlineStr">
        <is>
          <t>Proposed; Pending Source Validation; Validated; Deferred.</t>
        </is>
      </c>
    </row>
    <row r="20">
      <c r="A20" s="28" t="inlineStr">
        <is>
          <t>Notes</t>
        </is>
      </c>
      <c r="B20" s="28" t="inlineStr">
        <is>
          <t>Important caveats or implementation decisions.</t>
        </is>
      </c>
      <c r="C20" s="28" t="inlineStr">
        <is>
          <t>Use for comparability, methodology, or scope caveats.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2026-10-24T00:42:07Z</dcterms:created>
  <dcterms:modified xmlns:dcterms="http://purl.org/dc/terms/" xmlns:xsi="http://www.w3.org/2001/XMLSchema-instance" xsi:type="dcterms:W3CDTF">2026-10-24T03:23:25Z</dcterms:modified>
</cp:coreProperties>
</file>